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wineakanlerige/Desktop/IT:GRC/"/>
    </mc:Choice>
  </mc:AlternateContent>
  <xr:revisionPtr revIDLastSave="0" documentId="13_ncr:1_{0DD814B7-17F9-724D-AAC8-5617A314243B}" xr6:coauthVersionLast="47" xr6:coauthVersionMax="47" xr10:uidLastSave="{00000000-0000-0000-0000-000000000000}"/>
  <bookViews>
    <workbookView xWindow="0" yWindow="500" windowWidth="28800" windowHeight="16400" activeTab="3" xr2:uid="{00000000-000D-0000-FFFF-FFFF00000000}"/>
  </bookViews>
  <sheets>
    <sheet name="Cover Page &amp; Intro" sheetId="2" r:id="rId1"/>
    <sheet name="Lists" sheetId="1" r:id="rId2"/>
    <sheet name="Instructions" sheetId="3" r:id="rId3"/>
    <sheet name="Risk Register" sheetId="4" r:id="rId4"/>
    <sheet name="Threat Listing" sheetId="5" r:id="rId5"/>
    <sheet name="Risk Matrix Tool" sheetId="6" r:id="rId6"/>
  </sheets>
  <definedNames>
    <definedName name="_xlnm._FilterDatabase" localSheetId="3" hidden="1">'Risk Register'!$A$1:$O$60</definedName>
    <definedName name="ImpactOptions">Lists!$B$2:$B$6</definedName>
    <definedName name="LikelihoodOptions">Lists!$A$2:$A$6</definedName>
    <definedName name="POCOptions">Lists!$E$2:$E$11</definedName>
    <definedName name="StatusOptions">Lists!$D$2:$D$5</definedName>
    <definedName name="TreatmentOptions">Lists!$C$2:$C$5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4" l="1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<sst xmlns="http://schemas.openxmlformats.org/spreadsheetml/2006/main" count="352" uniqueCount="204">
  <si>
    <t>Likelihood</t>
  </si>
  <si>
    <t>Impact</t>
  </si>
  <si>
    <t>Treatment</t>
  </si>
  <si>
    <t>Status</t>
  </si>
  <si>
    <t>POC</t>
  </si>
  <si>
    <t>Very Low</t>
  </si>
  <si>
    <t>Low</t>
  </si>
  <si>
    <t>Moderate</t>
  </si>
  <si>
    <t>Major</t>
  </si>
  <si>
    <t>Catastrophic</t>
  </si>
  <si>
    <t>Mitigate</t>
  </si>
  <si>
    <t>Open</t>
  </si>
  <si>
    <t>Health Informatics</t>
  </si>
  <si>
    <t>Very High</t>
  </si>
  <si>
    <t>High</t>
  </si>
  <si>
    <t>Critical</t>
  </si>
  <si>
    <t>Transfer</t>
  </si>
  <si>
    <t>In Progress</t>
  </si>
  <si>
    <t>Privacy Office</t>
  </si>
  <si>
    <t>Accept</t>
  </si>
  <si>
    <t>Monitoring</t>
  </si>
  <si>
    <t>Clinical Engineering</t>
  </si>
  <si>
    <t>Avoid</t>
  </si>
  <si>
    <t>Closed</t>
  </si>
  <si>
    <t>IT Security</t>
  </si>
  <si>
    <t>Pharmacy</t>
  </si>
  <si>
    <t>Lab Manager</t>
  </si>
  <si>
    <t>Nursing Leadership</t>
  </si>
  <si>
    <t>Emergency Department Manager</t>
  </si>
  <si>
    <t>Quality &amp; Patient Safety</t>
  </si>
  <si>
    <t>Facilities</t>
  </si>
  <si>
    <t>RISK REGISTER TEMPLATE</t>
  </si>
  <si>
    <t>Prepared By: Awine Akanlerige</t>
  </si>
  <si>
    <t>Title:</t>
  </si>
  <si>
    <t>Healthcare Risk Register</t>
  </si>
  <si>
    <t>Date:</t>
  </si>
  <si>
    <t>[Insert Date]</t>
  </si>
  <si>
    <t>Healthcare Risk Register Template</t>
  </si>
  <si>
    <t>Date: March 18, 2026</t>
  </si>
  <si>
    <t>This workbook is a healthcare-adapted risk register designed to document, assess, track, and monitor risks across patient care, privacy, cybersecurity, clinical operations, medical devices, and vendor-supported services.</t>
  </si>
  <si>
    <t>Use the workbook to capture risks, assign likelihood and impact, record owners, track remediation actions, and support compliance, quality, and operational reviews.</t>
  </si>
  <si>
    <t>Example healthcare scenarios covered in this version include EHR downtime, unauthorized access to patient records, medication safety issues, ransomware, specimen labeling errors, and medical device vulnerabilities.</t>
  </si>
  <si>
    <t>INSTRUCTIONS FOR USE</t>
  </si>
  <si>
    <t>This template contains multiple sheets that support risk identification, scoring, treatment, and monitoring in healthcare environments.</t>
  </si>
  <si>
    <t/>
  </si>
  <si>
    <t>1. Risk Register:</t>
  </si>
  <si>
    <t>This is the primary sheet for recording identified risks.</t>
  </si>
  <si>
    <t>Fields include: Risk ID, Risk Description, Control ID/Subcategory, Implemented Controls, Likelihood, Impact, Risk Rating, Remediation Recommendations, Risk Treatment, POC, key dates, status, and notes.</t>
  </si>
  <si>
    <t>Use this section to track risks related to patient safety, privacy, information systems, medical devices, staffing, and service delivery.</t>
  </si>
  <si>
    <t>Instructions:</t>
  </si>
  <si>
    <t>Enter one risk per row. Select Likelihood, Impact, Treatment, and Status from dropdown lists. Update records regularly as actions progress.</t>
  </si>
  <si>
    <t>2. Threat Listing:</t>
  </si>
  <si>
    <t>This sheet provides healthcare-relevant examples of cybersecurity, privacy, operational, clinical, environmental, vendor, and regulatory threats.</t>
  </si>
  <si>
    <t>Use it as a reference when describing risks and considering possible consequences.</t>
  </si>
  <si>
    <t>3. Risk Matrix Tool:</t>
  </si>
  <si>
    <t>This sheet explains the scoring logic for likelihood and impact and shows how qualitative risk ratings are determined.</t>
  </si>
  <si>
    <t>Use the matrix definitions when assigning values in the Risk Register.</t>
  </si>
  <si>
    <t>4. Lists (Hidden):</t>
  </si>
  <si>
    <t>This sheet stores dropdown values and lookup mappings used across the workbook.</t>
  </si>
  <si>
    <t>Good practice in healthcare risk management:</t>
  </si>
  <si>
    <t>Review risks with clinical, privacy, IT, quality, and operations stakeholders; ensure patient harm, regulatory exposure, service continuity, and reputational impact are all considered.</t>
  </si>
  <si>
    <t>Risk ID</t>
  </si>
  <si>
    <t>Risk Description</t>
  </si>
  <si>
    <t>Control ID /
Subcategory</t>
  </si>
  <si>
    <t>Implemented Controls</t>
  </si>
  <si>
    <t>Risk Rating</t>
  </si>
  <si>
    <t>Remediation Recommendations</t>
  </si>
  <si>
    <t>Risk Treatment</t>
  </si>
  <si>
    <t>Date Identified</t>
  </si>
  <si>
    <t>Scheduled
Completion Date</t>
  </si>
  <si>
    <t>Actual Completion
Date</t>
  </si>
  <si>
    <t>Notes</t>
  </si>
  <si>
    <t>HR-001</t>
  </si>
  <si>
    <t>EHR downtime delays medication orders and clinical documentation</t>
  </si>
  <si>
    <t>IT-BCP / EHR Availability</t>
  </si>
  <si>
    <t>Downtime procedures, backup access plan, on-call infrastructure support</t>
  </si>
  <si>
    <t>Test downtime workflow quarterly; strengthen failover monitoring and clinician communication</t>
  </si>
  <si>
    <t>Priority risk for inpatient and ED workflows.</t>
  </si>
  <si>
    <t>HR-002</t>
  </si>
  <si>
    <t>Unauthorized access to patient records / PHI</t>
  </si>
  <si>
    <t>PRIV-ACC / Access Control</t>
  </si>
  <si>
    <t>Role-based access, MFA, audit logs, privacy training</t>
  </si>
  <si>
    <t>Tighten access reviews, monitor anomalous access, refresh minimum-necessary guidance</t>
  </si>
  <si>
    <t>Consider privileged-access reviews and break-glass oversight.</t>
  </si>
  <si>
    <t>HR-003</t>
  </si>
  <si>
    <t>Barcode medication administration failure increases medication error risk</t>
  </si>
  <si>
    <t>MEDSAFE / Medication Administration</t>
  </si>
  <si>
    <t>Manual double-check workflow, nursing escalation pathway, device support</t>
  </si>
  <si>
    <t>Improve scanner maintenance, add downtime checklist, review incident trends</t>
  </si>
  <si>
    <t>Link to quality and patient safety review.</t>
  </si>
  <si>
    <t>HR-004</t>
  </si>
  <si>
    <t>Ransomware disrupts clinical systems and scheduling</t>
  </si>
  <si>
    <t>SEC-IR / Cybersecurity Incident Response</t>
  </si>
  <si>
    <t>EDR, segmented network, backups, phishing training, incident response plan</t>
  </si>
  <si>
    <t>Run tabletop exercise, validate restore times, harden remote access controls</t>
  </si>
  <si>
    <t>High operational and reputational impact.</t>
  </si>
  <si>
    <t>HR-005</t>
  </si>
  <si>
    <t>Third-party vendor integration exposes patient data through misconfigured sharing</t>
  </si>
  <si>
    <t>VEND-DATA / Vendor Management</t>
  </si>
  <si>
    <t>Contract review, security questionnaire, access approvals, BA/PHIPA clauses</t>
  </si>
  <si>
    <t>Formalize vendor privacy review checklist and monitor data-sharing permissions</t>
  </si>
  <si>
    <t>Applies to digital health and analytics vendors.</t>
  </si>
  <si>
    <t>HR-006</t>
  </si>
  <si>
    <t>Specimen labeling mismatch leads to incorrect lab result attribution</t>
  </si>
  <si>
    <t>LAB-QA / Diagnostic Safety</t>
  </si>
  <si>
    <t>Two-identifier policy, barcode labels, lab rejection process</t>
  </si>
  <si>
    <t>Audit labeling compliance and refresh specimen collection training</t>
  </si>
  <si>
    <t>Track near misses and rejected samples.</t>
  </si>
  <si>
    <t>HR-007</t>
  </si>
  <si>
    <t>Connected medical device vulnerability affects availability or integrity</t>
  </si>
  <si>
    <t>BIO-MED / Device Security</t>
  </si>
  <si>
    <t>Asset inventory, patch coordination, network segmentation</t>
  </si>
  <si>
    <t>Perform device risk review; coordinate with vendor on patching and compensating controls</t>
  </si>
  <si>
    <t>Includes infusion pumps and bedside monitoring devices.</t>
  </si>
  <si>
    <t>HR-008</t>
  </si>
  <si>
    <t>Staff shortage or surge volumes delay triage and care escalation</t>
  </si>
  <si>
    <t>OPS-WF / Workforce Capacity</t>
  </si>
  <si>
    <t>Escalation policy, float staffing, surge protocols</t>
  </si>
  <si>
    <t>Review staffing triggers and escalation thresholds; update surge response plan</t>
  </si>
  <si>
    <t>Operational risk with direct patient access implications.</t>
  </si>
  <si>
    <t>Threat Listing
The table below provides healthcare-relevant threat examples to consider when evaluating risk to patient care, privacy, clinical operations, and supporting technologies.</t>
  </si>
  <si>
    <t>Threat Source</t>
  </si>
  <si>
    <t>Threat</t>
  </si>
  <si>
    <t>Description</t>
  </si>
  <si>
    <t>Consequences</t>
  </si>
  <si>
    <t>Cybersecurity</t>
  </si>
  <si>
    <t>Ransomware</t>
  </si>
  <si>
    <t>Malware encrypts clinical or administrative systems and disrupts access.</t>
  </si>
  <si>
    <t>Delayed care, cancelled appointments, downtime procedures, potential privacy incident.</t>
  </si>
  <si>
    <t>Phishing / credential theft</t>
  </si>
  <si>
    <t>User credentials are compromised through social engineering.</t>
  </si>
  <si>
    <t>Unauthorized access, account misuse, potential PHI disclosure.</t>
  </si>
  <si>
    <t>Privacy</t>
  </si>
  <si>
    <t>Unauthorized record access</t>
  </si>
  <si>
    <t>A workforce member or third party accesses PHI without a valid need.</t>
  </si>
  <si>
    <t>Privacy breach, legal exposure, reputational harm, loss of patient trust.</t>
  </si>
  <si>
    <t>Misconfigured data sharing</t>
  </si>
  <si>
    <t>Interfaces, shared drives, or vendor settings expose patient data.</t>
  </si>
  <si>
    <t>Disclosure of PHI, regulatory reporting, contract and reputational risk.</t>
  </si>
  <si>
    <t>Clinical Process</t>
  </si>
  <si>
    <t>Medication administration error</t>
  </si>
  <si>
    <t>Failure in barcode scanning, ordering, transcription, or verification.</t>
  </si>
  <si>
    <t>Patient harm, adverse drug events, quality/safety review.</t>
  </si>
  <si>
    <t>Specimen labeling mismatch</t>
  </si>
  <si>
    <t>Samples are mislabeled or linked to the wrong patient.</t>
  </si>
  <si>
    <t>Incorrect results, treatment delays, repeat collection, patient safety event.</t>
  </si>
  <si>
    <t>Medical Device</t>
  </si>
  <si>
    <t>Connected device vulnerability</t>
  </si>
  <si>
    <t>A device cannot be patched promptly or contains exploitable weaknesses.</t>
  </si>
  <si>
    <t>Device unavailability, integrity concerns, clinical workflow disruption.</t>
  </si>
  <si>
    <t>Operational</t>
  </si>
  <si>
    <t>EHR downtime</t>
  </si>
  <si>
    <t>Core documentation, ordering, or results systems become unavailable.</t>
  </si>
  <si>
    <t>Manual workarounds, delayed care, reduced situational awareness.</t>
  </si>
  <si>
    <t>Staff shortage / surge capacity failure</t>
  </si>
  <si>
    <t>Workforce shortages or demand surges reduce safe coverage.</t>
  </si>
  <si>
    <t>Delayed triage, wait times, quality issues, staff burnout.</t>
  </si>
  <si>
    <t>Vendor / Third Party</t>
  </si>
  <si>
    <t>Vendor outage or delayed support</t>
  </si>
  <si>
    <t>A third-party platform or service becomes unavailable.</t>
  </si>
  <si>
    <t>Scheduling disruption, delayed reporting, workflow bottlenecks.</t>
  </si>
  <si>
    <t>Legal / Regulatory</t>
  </si>
  <si>
    <t>Policy breach / non-compliance</t>
  </si>
  <si>
    <t>Required controls, privacy practices, or documentation are not followed.</t>
  </si>
  <si>
    <t>Audit findings, remediation burden, possible fines or sanctions.</t>
  </si>
  <si>
    <t>Environmental</t>
  </si>
  <si>
    <t>Power failure</t>
  </si>
  <si>
    <t>Power loss affects systems, devices, refrigeration, or operations.</t>
  </si>
  <si>
    <t>Service disruption, equipment failure, patient safety consequences.</t>
  </si>
  <si>
    <t>Temperature / humidity control failure</t>
  </si>
  <si>
    <t>Improper environmental conditions affect labs, servers, or supplies.</t>
  </si>
  <si>
    <t>Equipment damage, degraded performance, specimen or medication loss.</t>
  </si>
  <si>
    <t>Managerial</t>
  </si>
  <si>
    <t>Incomplete documentation</t>
  </si>
  <si>
    <t>Policies, procedures, or recovery documentation are missing or outdated.</t>
  </si>
  <si>
    <t>Inconsistent response, governance gaps, prolonged recovery times.</t>
  </si>
  <si>
    <t>LIKELIHOOD &amp; IMPACT DETERMINATION
Values below are provided with healthcare-focused explanations to help assess the probability and consequence of risk events.</t>
  </si>
  <si>
    <t>RISK CALCULATION
The matrix below translates likelihood and impact into a qualitative rating.</t>
  </si>
  <si>
    <t>Likelihood of Threat Event</t>
  </si>
  <si>
    <t>Qualitative Risk Matrix</t>
  </si>
  <si>
    <t>Qualitative Value</t>
  </si>
  <si>
    <t>Suggested interpretation</t>
  </si>
  <si>
    <t>Healthcare example</t>
  </si>
  <si>
    <t>Expected frequently or under current conditions</t>
  </si>
  <si>
    <t>Common control failure, repeated phishing, or known recurring outage pattern.</t>
  </si>
  <si>
    <t>Likely to occur in the normal operating environment</t>
  </si>
  <si>
    <t>A realistic event seen periodically across departments or vendors.</t>
  </si>
  <si>
    <t>Possible and plausible but not frequent</t>
  </si>
  <si>
    <t>A meaningful risk with some controls in place but clear residual exposure.</t>
  </si>
  <si>
    <t>Unlikely but still credible</t>
  </si>
  <si>
    <t>Would usually require multiple failures or unusual circumstances.</t>
  </si>
  <si>
    <t>Rare under current controls</t>
  </si>
  <si>
    <t>Possible in theory, but strongly constrained by current safeguards.</t>
  </si>
  <si>
    <t>Impact of Threat Events</t>
  </si>
  <si>
    <t>Severe patient, operational, legal, or organizational harm</t>
  </si>
  <si>
    <t>Potential death or severe harm, system-wide failure, or major reportable privacy event.</t>
  </si>
  <si>
    <t>Serious adverse effect on care or operations</t>
  </si>
  <si>
    <t>Significant service disruption, major financial loss, or material breach requiring escalation.</t>
  </si>
  <si>
    <t>Noticeable degradation or localized harm</t>
  </si>
  <si>
    <t>Unit-level delays, repeat work, moderate safety/privacy exposure, or urgent remediation.</t>
  </si>
  <si>
    <t>Limited effect with manageable disruption</t>
  </si>
  <si>
    <t>Minor workflow issue, quickly contained event, or near miss with limited consequences.</t>
  </si>
  <si>
    <t>Negligible effect</t>
  </si>
  <si>
    <t>Minimal operational impact and little to no patient or privacy consequence.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</si>
</sst>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 x14ac:knownFonts="1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b/>
      <sz val="24"/>
      <name val="Aptos Narrow"/>
    </font>
    <font>
      <b/>
      <sz val="14"/>
      <name val="Aptos Narrow"/>
    </font>
    <font>
      <b/>
      <sz val="10"/>
      <name val="Aptos Narrow"/>
    </font>
    <font>
      <sz val="10"/>
      <name val="Aptos Narrow"/>
    </font>
    <font>
      <sz val="10"/>
      <name val="Times New Roman"/>
      <family val="1"/>
    </font>
    <font>
      <b/>
      <sz val="10"/>
      <color rgb="FFFFFFFF"/>
      <name val="Times New Roman"/>
      <family val="1"/>
    </font>
    <font>
      <b/>
      <sz val="11"/>
      <color rgb="FFFFFFFF"/>
      <name val="Aptos Narrow"/>
    </font>
    <font>
      <b/>
      <u/>
      <sz val="10"/>
      <name val="Aptos Narrow"/>
    </font>
    <font>
      <b/>
      <sz val="22"/>
      <color rgb="FF5B9BD5"/>
      <name val="Aptos Narrow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9A67A"/>
      </patternFill>
    </fill>
    <fill>
      <patternFill patternType="solid">
        <fgColor rgb="FFD9D9D9"/>
      </patternFill>
    </fill>
    <fill>
      <patternFill patternType="solid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C2F0"/>
      </patternFill>
    </fill>
    <fill>
      <patternFill patternType="solid">
        <fgColor rgb="FFC6E0B4"/>
      </patternFill>
    </fill>
    <fill>
      <patternFill patternType="solid">
        <fgColor rgb="FF92D050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vertical="top" wrapText="1"/>
    </xf>
    <xf numFmtId="0" fontId="8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5" fillId="5" borderId="2" xfId="0" applyFont="1" applyFill="1" applyBorder="1"/>
    <xf numFmtId="0" fontId="10" fillId="0" borderId="0" xfId="0" applyFont="1" applyAlignment="1">
      <alignment horizontal="center"/>
    </xf>
    <xf numFmtId="0" fontId="6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11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7" fillId="3" borderId="4" xfId="0" applyFont="1" applyFill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1" fillId="3" borderId="4" xfId="0" applyFont="1" applyFill="1" applyBorder="1" applyAlignment="1">
      <alignment vertical="center" wrapText="1"/>
    </xf>
    <xf numFmtId="0" fontId="12" fillId="11" borderId="0" xfId="0" applyFont="1" applyFill="1"/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C2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40" customHeight="1" x14ac:dyDescent="0.35">
      <c r="A1" s="19" t="s">
        <v>31</v>
      </c>
    </row>
    <row r="3" spans="1:1" ht="16" x14ac:dyDescent="0.2">
      <c r="A3" s="1" t="s">
        <v>32</v>
      </c>
    </row>
    <row r="9" spans="1:1" ht="16" x14ac:dyDescent="0.2">
      <c r="A9" s="1" t="s">
        <v>33</v>
      </c>
    </row>
    <row r="10" spans="1:1" ht="16" x14ac:dyDescent="0.2">
      <c r="A10" s="2" t="s">
        <v>34</v>
      </c>
    </row>
    <row r="12" spans="1:1" ht="16" x14ac:dyDescent="0.2">
      <c r="A12" s="1" t="s">
        <v>35</v>
      </c>
    </row>
    <row r="13" spans="1:1" ht="16" x14ac:dyDescent="0.2">
      <c r="A13" s="2" t="s">
        <v>36</v>
      </c>
    </row>
    <row r="15" spans="1:1" ht="16" x14ac:dyDescent="0.2">
      <c r="A15" s="1" t="s">
        <v>37</v>
      </c>
    </row>
    <row r="17" spans="1:1" ht="16" x14ac:dyDescent="0.2">
      <c r="A17" s="1" t="s">
        <v>38</v>
      </c>
    </row>
    <row r="19" spans="1:1" ht="53.25" customHeight="1" x14ac:dyDescent="0.2">
      <c r="A19" s="2" t="s">
        <v>39</v>
      </c>
    </row>
    <row r="22" spans="1:1" ht="53.25" customHeight="1" x14ac:dyDescent="0.2">
      <c r="A22" s="2" t="s">
        <v>40</v>
      </c>
    </row>
    <row r="25" spans="1:1" ht="53.25" customHeight="1" x14ac:dyDescent="0.2">
      <c r="A25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J15" sqref="J15"/>
    </sheetView>
  </sheetViews>
  <sheetFormatPr baseColWidth="10" defaultColWidth="8.83203125" defaultRowHeight="15" x14ac:dyDescent="0.2"/>
  <cols>
    <col min="5" max="5" width="26" bestFit="1" customWidth="1"/>
    <col min="7" max="7" width="9.1640625" bestFit="1" customWidth="1"/>
    <col min="8" max="8" width="8.5" bestFit="1" customWidth="1"/>
  </cols>
  <sheetData>
    <row r="1" spans="1:12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/>
      <c r="G1" s="33" t="s">
        <v>0</v>
      </c>
      <c r="H1" s="33" t="s">
        <v>5</v>
      </c>
      <c r="I1" s="33" t="s">
        <v>6</v>
      </c>
      <c r="J1" s="33" t="s">
        <v>7</v>
      </c>
      <c r="K1" s="33" t="s">
        <v>8</v>
      </c>
      <c r="L1" s="33" t="s">
        <v>9</v>
      </c>
    </row>
    <row r="2" spans="1:12" x14ac:dyDescent="0.2">
      <c r="A2" t="s">
        <v>5</v>
      </c>
      <c r="B2" t="s">
        <v>5</v>
      </c>
      <c r="C2" t="s">
        <v>10</v>
      </c>
      <c r="D2" t="s">
        <v>11</v>
      </c>
      <c r="E2" t="s">
        <v>12</v>
      </c>
      <c r="G2" t="s">
        <v>13</v>
      </c>
      <c r="H2" t="s">
        <v>7</v>
      </c>
      <c r="I2" t="s">
        <v>7</v>
      </c>
      <c r="J2" t="s">
        <v>14</v>
      </c>
      <c r="K2" t="s">
        <v>14</v>
      </c>
      <c r="L2" t="s">
        <v>15</v>
      </c>
    </row>
    <row r="3" spans="1:12" x14ac:dyDescent="0.2">
      <c r="A3" t="s">
        <v>6</v>
      </c>
      <c r="B3" t="s">
        <v>6</v>
      </c>
      <c r="C3" t="s">
        <v>16</v>
      </c>
      <c r="D3" t="s">
        <v>17</v>
      </c>
      <c r="E3" t="s">
        <v>18</v>
      </c>
      <c r="G3" t="s">
        <v>14</v>
      </c>
      <c r="H3" t="s">
        <v>6</v>
      </c>
      <c r="I3" t="s">
        <v>7</v>
      </c>
      <c r="J3" t="s">
        <v>7</v>
      </c>
      <c r="K3" t="s">
        <v>14</v>
      </c>
      <c r="L3" t="s">
        <v>14</v>
      </c>
    </row>
    <row r="4" spans="1:12" x14ac:dyDescent="0.2">
      <c r="A4" t="s">
        <v>7</v>
      </c>
      <c r="B4" t="s">
        <v>7</v>
      </c>
      <c r="C4" t="s">
        <v>19</v>
      </c>
      <c r="D4" t="s">
        <v>20</v>
      </c>
      <c r="E4" t="s">
        <v>21</v>
      </c>
      <c r="G4" t="s">
        <v>7</v>
      </c>
      <c r="H4" t="s">
        <v>6</v>
      </c>
      <c r="I4" t="s">
        <v>7</v>
      </c>
      <c r="J4" t="s">
        <v>7</v>
      </c>
      <c r="K4" t="s">
        <v>7</v>
      </c>
      <c r="L4" t="s">
        <v>14</v>
      </c>
    </row>
    <row r="5" spans="1:12" x14ac:dyDescent="0.2">
      <c r="A5" t="s">
        <v>14</v>
      </c>
      <c r="B5" t="s">
        <v>8</v>
      </c>
      <c r="C5" t="s">
        <v>22</v>
      </c>
      <c r="D5" t="s">
        <v>23</v>
      </c>
      <c r="E5" t="s">
        <v>24</v>
      </c>
      <c r="G5" t="s">
        <v>6</v>
      </c>
      <c r="H5" t="s">
        <v>6</v>
      </c>
      <c r="I5" t="s">
        <v>6</v>
      </c>
      <c r="J5" t="s">
        <v>7</v>
      </c>
      <c r="K5" t="s">
        <v>7</v>
      </c>
      <c r="L5" t="s">
        <v>7</v>
      </c>
    </row>
    <row r="6" spans="1:12" x14ac:dyDescent="0.2">
      <c r="A6" t="s">
        <v>13</v>
      </c>
      <c r="B6" t="s">
        <v>9</v>
      </c>
      <c r="E6" t="s">
        <v>25</v>
      </c>
      <c r="G6" t="s">
        <v>5</v>
      </c>
      <c r="H6" t="s">
        <v>5</v>
      </c>
      <c r="I6" t="s">
        <v>6</v>
      </c>
      <c r="J6" t="s">
        <v>6</v>
      </c>
      <c r="K6" t="s">
        <v>6</v>
      </c>
      <c r="L6" t="s">
        <v>7</v>
      </c>
    </row>
    <row r="7" spans="1:12" x14ac:dyDescent="0.2">
      <c r="E7" t="s">
        <v>26</v>
      </c>
    </row>
    <row r="8" spans="1:12" x14ac:dyDescent="0.2">
      <c r="E8" t="s">
        <v>27</v>
      </c>
    </row>
    <row r="9" spans="1:12" x14ac:dyDescent="0.2">
      <c r="E9" t="s">
        <v>28</v>
      </c>
    </row>
    <row r="10" spans="1:12" x14ac:dyDescent="0.2">
      <c r="E10" t="s">
        <v>29</v>
      </c>
    </row>
    <row r="11" spans="1:12" x14ac:dyDescent="0.2">
      <c r="E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topLeftCell="A11" workbookViewId="0">
      <selection sqref="A1:A2"/>
    </sheetView>
  </sheetViews>
  <sheetFormatPr baseColWidth="10" defaultColWidth="8.83203125" defaultRowHeight="15" x14ac:dyDescent="0.2"/>
  <cols>
    <col min="1" max="1" width="150" customWidth="1"/>
  </cols>
  <sheetData>
    <row r="1" spans="1:1" ht="40" customHeight="1" x14ac:dyDescent="0.2">
      <c r="A1" s="20" t="s">
        <v>42</v>
      </c>
    </row>
    <row r="2" spans="1:1" ht="34.75" customHeight="1" x14ac:dyDescent="0.2">
      <c r="A2" s="21"/>
    </row>
    <row r="4" spans="1:1" ht="32" customHeight="1" x14ac:dyDescent="0.2">
      <c r="A4" s="2" t="s">
        <v>43</v>
      </c>
    </row>
    <row r="5" spans="1:1" ht="32" customHeight="1" x14ac:dyDescent="0.2">
      <c r="A5" s="2" t="s">
        <v>44</v>
      </c>
    </row>
    <row r="6" spans="1:1" ht="32" customHeight="1" x14ac:dyDescent="0.2">
      <c r="A6" s="3" t="s">
        <v>45</v>
      </c>
    </row>
    <row r="7" spans="1:1" ht="32" customHeight="1" x14ac:dyDescent="0.2">
      <c r="A7" s="2" t="s">
        <v>46</v>
      </c>
    </row>
    <row r="8" spans="1:1" ht="32" customHeight="1" x14ac:dyDescent="0.2">
      <c r="A8" s="2" t="s">
        <v>47</v>
      </c>
    </row>
    <row r="9" spans="1:1" ht="32" customHeight="1" x14ac:dyDescent="0.2">
      <c r="A9" s="2" t="s">
        <v>48</v>
      </c>
    </row>
    <row r="10" spans="1:1" ht="32" customHeight="1" x14ac:dyDescent="0.2">
      <c r="A10" s="1" t="s">
        <v>49</v>
      </c>
    </row>
    <row r="11" spans="1:1" ht="32" customHeight="1" x14ac:dyDescent="0.2">
      <c r="A11" s="2" t="s">
        <v>50</v>
      </c>
    </row>
    <row r="12" spans="1:1" ht="32" customHeight="1" x14ac:dyDescent="0.2">
      <c r="A12" s="2" t="s">
        <v>44</v>
      </c>
    </row>
    <row r="13" spans="1:1" ht="32" customHeight="1" x14ac:dyDescent="0.2">
      <c r="A13" s="3" t="s">
        <v>51</v>
      </c>
    </row>
    <row r="14" spans="1:1" ht="32" customHeight="1" x14ac:dyDescent="0.2">
      <c r="A14" s="2" t="s">
        <v>52</v>
      </c>
    </row>
    <row r="15" spans="1:1" ht="32" customHeight="1" x14ac:dyDescent="0.2">
      <c r="A15" s="2" t="s">
        <v>53</v>
      </c>
    </row>
    <row r="16" spans="1:1" ht="32" customHeight="1" x14ac:dyDescent="0.2">
      <c r="A16" s="2" t="s">
        <v>44</v>
      </c>
    </row>
    <row r="17" spans="1:1" ht="32" customHeight="1" x14ac:dyDescent="0.2">
      <c r="A17" s="3" t="s">
        <v>54</v>
      </c>
    </row>
    <row r="18" spans="1:1" ht="32" customHeight="1" x14ac:dyDescent="0.2">
      <c r="A18" s="2" t="s">
        <v>55</v>
      </c>
    </row>
    <row r="19" spans="1:1" ht="32" customHeight="1" x14ac:dyDescent="0.2">
      <c r="A19" s="2" t="s">
        <v>56</v>
      </c>
    </row>
    <row r="20" spans="1:1" ht="32" customHeight="1" x14ac:dyDescent="0.2">
      <c r="A20" s="2" t="s">
        <v>44</v>
      </c>
    </row>
    <row r="21" spans="1:1" ht="32" customHeight="1" x14ac:dyDescent="0.2">
      <c r="A21" s="3" t="s">
        <v>57</v>
      </c>
    </row>
    <row r="22" spans="1:1" ht="32" customHeight="1" x14ac:dyDescent="0.2">
      <c r="A22" s="2" t="s">
        <v>58</v>
      </c>
    </row>
    <row r="23" spans="1:1" ht="32" customHeight="1" x14ac:dyDescent="0.2">
      <c r="A23" s="2" t="s">
        <v>44</v>
      </c>
    </row>
    <row r="24" spans="1:1" ht="32" customHeight="1" x14ac:dyDescent="0.2">
      <c r="A24" s="1" t="s">
        <v>59</v>
      </c>
    </row>
    <row r="25" spans="1:1" ht="32" customHeight="1" x14ac:dyDescent="0.2">
      <c r="A25" s="2" t="s">
        <v>60</v>
      </c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18" customWidth="1"/>
    <col min="4" max="4" width="28" customWidth="1"/>
    <col min="5" max="7" width="14" customWidth="1"/>
    <col min="8" max="8" width="34" customWidth="1"/>
    <col min="9" max="9" width="16" customWidth="1"/>
    <col min="10" max="10" width="18" customWidth="1"/>
    <col min="11" max="11" width="16" customWidth="1"/>
    <col min="12" max="13" width="18" customWidth="1"/>
    <col min="14" max="14" width="14" customWidth="1"/>
    <col min="15" max="15" width="30" customWidth="1"/>
  </cols>
  <sheetData>
    <row r="1" spans="1:15" ht="45.25" customHeight="1" x14ac:dyDescent="0.2">
      <c r="A1" s="4" t="s">
        <v>61</v>
      </c>
      <c r="B1" s="4" t="s">
        <v>62</v>
      </c>
      <c r="C1" s="4" t="s">
        <v>63</v>
      </c>
      <c r="D1" s="4" t="s">
        <v>64</v>
      </c>
      <c r="E1" s="4" t="s">
        <v>0</v>
      </c>
      <c r="F1" s="4" t="s">
        <v>1</v>
      </c>
      <c r="G1" s="4" t="s">
        <v>65</v>
      </c>
      <c r="H1" s="4" t="s">
        <v>66</v>
      </c>
      <c r="I1" s="4" t="s">
        <v>67</v>
      </c>
      <c r="J1" s="4" t="s">
        <v>4</v>
      </c>
      <c r="K1" s="4" t="s">
        <v>68</v>
      </c>
      <c r="L1" s="4" t="s">
        <v>69</v>
      </c>
      <c r="M1" s="4" t="s">
        <v>70</v>
      </c>
      <c r="N1" s="4" t="s">
        <v>3</v>
      </c>
      <c r="O1" s="4" t="s">
        <v>71</v>
      </c>
    </row>
    <row r="2" spans="1:15" ht="56" customHeight="1" x14ac:dyDescent="0.2">
      <c r="A2" s="5" t="s">
        <v>72</v>
      </c>
      <c r="B2" s="5" t="s">
        <v>73</v>
      </c>
      <c r="C2" s="5" t="s">
        <v>74</v>
      </c>
      <c r="D2" s="5" t="s">
        <v>75</v>
      </c>
      <c r="E2" s="5" t="s">
        <v>14</v>
      </c>
      <c r="F2" s="5" t="s">
        <v>8</v>
      </c>
      <c r="G2" s="6" t="str">
        <f>IF(OR(E2="",F2=""),"",INDEX(Lists!$H$2:$L$6,MATCH(E2,Lists!$G$2:$G$6,0),MATCH(F2,Lists!$H$1:$L$1,0)))</f>
        <v>High</v>
      </c>
      <c r="H2" s="5" t="s">
        <v>76</v>
      </c>
      <c r="I2" s="5" t="s">
        <v>10</v>
      </c>
      <c r="J2" s="5" t="s">
        <v>12</v>
      </c>
      <c r="K2" s="7">
        <v>45734</v>
      </c>
      <c r="L2" s="7">
        <v>46203</v>
      </c>
      <c r="M2" s="7" t="s">
        <v>44</v>
      </c>
      <c r="N2" s="5" t="s">
        <v>11</v>
      </c>
      <c r="O2" s="5" t="s">
        <v>77</v>
      </c>
    </row>
    <row r="3" spans="1:15" ht="56" customHeight="1" x14ac:dyDescent="0.2">
      <c r="A3" s="5" t="s">
        <v>78</v>
      </c>
      <c r="B3" s="5" t="s">
        <v>79</v>
      </c>
      <c r="C3" s="5" t="s">
        <v>80</v>
      </c>
      <c r="D3" s="5" t="s">
        <v>81</v>
      </c>
      <c r="E3" s="5" t="s">
        <v>7</v>
      </c>
      <c r="F3" s="5" t="s">
        <v>8</v>
      </c>
      <c r="G3" s="6" t="str">
        <f>IF(OR(E3="",F3=""),"",INDEX(Lists!$H$2:$L$6,MATCH(E3,Lists!$G$2:$G$6,0),MATCH(F3,Lists!$H$1:$L$1,0)))</f>
        <v>Moderate</v>
      </c>
      <c r="H3" s="5" t="s">
        <v>82</v>
      </c>
      <c r="I3" s="5" t="s">
        <v>10</v>
      </c>
      <c r="J3" s="5" t="s">
        <v>18</v>
      </c>
      <c r="K3" s="7">
        <v>45734</v>
      </c>
      <c r="L3" s="7">
        <v>46173</v>
      </c>
      <c r="M3" s="7" t="s">
        <v>44</v>
      </c>
      <c r="N3" s="5" t="s">
        <v>17</v>
      </c>
      <c r="O3" s="5" t="s">
        <v>83</v>
      </c>
    </row>
    <row r="4" spans="1:15" ht="56" customHeight="1" x14ac:dyDescent="0.2">
      <c r="A4" s="5" t="s">
        <v>84</v>
      </c>
      <c r="B4" s="5" t="s">
        <v>85</v>
      </c>
      <c r="C4" s="5" t="s">
        <v>86</v>
      </c>
      <c r="D4" s="5" t="s">
        <v>87</v>
      </c>
      <c r="E4" s="5" t="s">
        <v>7</v>
      </c>
      <c r="F4" s="5" t="s">
        <v>9</v>
      </c>
      <c r="G4" s="6" t="str">
        <f>IF(OR(E4="",F4=""),"",INDEX(Lists!$H$2:$L$6,MATCH(E4,Lists!$G$2:$G$6,0),MATCH(F4,Lists!$H$1:$L$1,0)))</f>
        <v>High</v>
      </c>
      <c r="H4" s="5" t="s">
        <v>88</v>
      </c>
      <c r="I4" s="5" t="s">
        <v>10</v>
      </c>
      <c r="J4" s="5" t="s">
        <v>25</v>
      </c>
      <c r="K4" s="7">
        <v>45734</v>
      </c>
      <c r="L4" s="7">
        <v>46157</v>
      </c>
      <c r="M4" s="7" t="s">
        <v>44</v>
      </c>
      <c r="N4" s="5" t="s">
        <v>11</v>
      </c>
      <c r="O4" s="5" t="s">
        <v>89</v>
      </c>
    </row>
    <row r="5" spans="1:15" ht="56" customHeight="1" x14ac:dyDescent="0.2">
      <c r="A5" s="5" t="s">
        <v>90</v>
      </c>
      <c r="B5" s="5" t="s">
        <v>91</v>
      </c>
      <c r="C5" s="5" t="s">
        <v>92</v>
      </c>
      <c r="D5" s="5" t="s">
        <v>93</v>
      </c>
      <c r="E5" s="5" t="s">
        <v>14</v>
      </c>
      <c r="F5" s="5" t="s">
        <v>9</v>
      </c>
      <c r="G5" s="6" t="str">
        <f>IF(OR(E5="",F5=""),"",INDEX(Lists!$H$2:$L$6,MATCH(E5,Lists!$G$2:$G$6,0),MATCH(F5,Lists!$H$1:$L$1,0)))</f>
        <v>High</v>
      </c>
      <c r="H5" s="5" t="s">
        <v>94</v>
      </c>
      <c r="I5" s="5" t="s">
        <v>10</v>
      </c>
      <c r="J5" s="5" t="s">
        <v>24</v>
      </c>
      <c r="K5" s="7">
        <v>45734</v>
      </c>
      <c r="L5" s="7">
        <v>46234</v>
      </c>
      <c r="M5" s="7" t="s">
        <v>44</v>
      </c>
      <c r="N5" s="5" t="s">
        <v>11</v>
      </c>
      <c r="O5" s="5" t="s">
        <v>95</v>
      </c>
    </row>
    <row r="6" spans="1:15" ht="56" customHeight="1" x14ac:dyDescent="0.2">
      <c r="A6" s="5" t="s">
        <v>96</v>
      </c>
      <c r="B6" s="5" t="s">
        <v>97</v>
      </c>
      <c r="C6" s="5" t="s">
        <v>98</v>
      </c>
      <c r="D6" s="5" t="s">
        <v>99</v>
      </c>
      <c r="E6" s="5" t="s">
        <v>7</v>
      </c>
      <c r="F6" s="5" t="s">
        <v>8</v>
      </c>
      <c r="G6" s="6" t="str">
        <f>IF(OR(E6="",F6=""),"",INDEX(Lists!$H$2:$L$6,MATCH(E6,Lists!$G$2:$G$6,0),MATCH(F6,Lists!$H$1:$L$1,0)))</f>
        <v>Moderate</v>
      </c>
      <c r="H6" s="5" t="s">
        <v>100</v>
      </c>
      <c r="I6" s="5" t="s">
        <v>16</v>
      </c>
      <c r="J6" s="5" t="s">
        <v>18</v>
      </c>
      <c r="K6" s="7">
        <v>45734</v>
      </c>
      <c r="L6" s="7">
        <v>46188</v>
      </c>
      <c r="M6" s="7" t="s">
        <v>44</v>
      </c>
      <c r="N6" s="5" t="s">
        <v>20</v>
      </c>
      <c r="O6" s="5" t="s">
        <v>101</v>
      </c>
    </row>
    <row r="7" spans="1:15" ht="56" customHeight="1" x14ac:dyDescent="0.2">
      <c r="A7" s="5" t="s">
        <v>102</v>
      </c>
      <c r="B7" s="5" t="s">
        <v>103</v>
      </c>
      <c r="C7" s="5" t="s">
        <v>104</v>
      </c>
      <c r="D7" s="5" t="s">
        <v>105</v>
      </c>
      <c r="E7" s="5" t="s">
        <v>6</v>
      </c>
      <c r="F7" s="5" t="s">
        <v>8</v>
      </c>
      <c r="G7" s="6" t="str">
        <f>IF(OR(E7="",F7=""),"",INDEX(Lists!$H$2:$L$6,MATCH(E7,Lists!$G$2:$G$6,0),MATCH(F7,Lists!$H$1:$L$1,0)))</f>
        <v>Moderate</v>
      </c>
      <c r="H7" s="5" t="s">
        <v>106</v>
      </c>
      <c r="I7" s="5" t="s">
        <v>10</v>
      </c>
      <c r="J7" s="5" t="s">
        <v>26</v>
      </c>
      <c r="K7" s="7">
        <v>46099</v>
      </c>
      <c r="L7" s="7">
        <v>46142</v>
      </c>
      <c r="M7" s="7" t="s">
        <v>44</v>
      </c>
      <c r="N7" s="5" t="s">
        <v>17</v>
      </c>
      <c r="O7" s="5" t="s">
        <v>107</v>
      </c>
    </row>
    <row r="8" spans="1:15" ht="56" customHeight="1" x14ac:dyDescent="0.2">
      <c r="A8" s="5" t="s">
        <v>108</v>
      </c>
      <c r="B8" s="5" t="s">
        <v>109</v>
      </c>
      <c r="C8" s="5" t="s">
        <v>110</v>
      </c>
      <c r="D8" s="5" t="s">
        <v>111</v>
      </c>
      <c r="E8" s="5" t="s">
        <v>7</v>
      </c>
      <c r="F8" s="5" t="s">
        <v>8</v>
      </c>
      <c r="G8" s="6" t="str">
        <f>IF(OR(E8="",F8=""),"",INDEX(Lists!$H$2:$L$6,MATCH(E8,Lists!$G$2:$G$6,0),MATCH(F8,Lists!$H$1:$L$1,0)))</f>
        <v>Moderate</v>
      </c>
      <c r="H8" s="5" t="s">
        <v>112</v>
      </c>
      <c r="I8" s="5" t="s">
        <v>10</v>
      </c>
      <c r="J8" s="5" t="s">
        <v>21</v>
      </c>
      <c r="K8" s="7">
        <v>46099</v>
      </c>
      <c r="L8" s="7">
        <v>46265</v>
      </c>
      <c r="M8" s="7" t="s">
        <v>44</v>
      </c>
      <c r="N8" s="5" t="s">
        <v>11</v>
      </c>
      <c r="O8" s="5" t="s">
        <v>113</v>
      </c>
    </row>
    <row r="9" spans="1:15" ht="56" customHeight="1" x14ac:dyDescent="0.2">
      <c r="A9" s="5" t="s">
        <v>114</v>
      </c>
      <c r="B9" s="5" t="s">
        <v>115</v>
      </c>
      <c r="C9" s="5" t="s">
        <v>116</v>
      </c>
      <c r="D9" s="5" t="s">
        <v>117</v>
      </c>
      <c r="E9" s="5" t="s">
        <v>14</v>
      </c>
      <c r="F9" s="5" t="s">
        <v>8</v>
      </c>
      <c r="G9" s="6" t="str">
        <f>IF(OR(E9="",F9=""),"",INDEX(Lists!$H$2:$L$6,MATCH(E9,Lists!$G$2:$G$6,0),MATCH(F9,Lists!$H$1:$L$1,0)))</f>
        <v>High</v>
      </c>
      <c r="H9" s="5" t="s">
        <v>118</v>
      </c>
      <c r="I9" s="5" t="s">
        <v>19</v>
      </c>
      <c r="J9" s="5" t="s">
        <v>27</v>
      </c>
      <c r="K9" s="7">
        <v>46099</v>
      </c>
      <c r="L9" s="7">
        <v>46173</v>
      </c>
      <c r="M9" s="7" t="s">
        <v>44</v>
      </c>
      <c r="N9" s="5" t="s">
        <v>20</v>
      </c>
      <c r="O9" s="5" t="s">
        <v>119</v>
      </c>
    </row>
    <row r="10" spans="1:15" x14ac:dyDescent="0.2">
      <c r="A10" s="5"/>
      <c r="B10" s="5"/>
      <c r="C10" s="5"/>
      <c r="D10" s="5"/>
      <c r="E10" s="5"/>
      <c r="F10" s="5"/>
      <c r="G10" s="5" t="str">
        <f>IF(OR(E10="",F10=""),"",INDEX(Lists!$H$2:$L$6,MATCH(E10,Lists!$G$2:$G$6,0),MATCH(F10,Lists!$H$1:$L$1,0)))</f>
        <v/>
      </c>
      <c r="H10" s="5"/>
      <c r="I10" s="5"/>
      <c r="J10" s="5"/>
      <c r="K10" s="7"/>
      <c r="L10" s="7"/>
      <c r="M10" s="7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 t="str">
        <f>IF(OR(E11="",F11=""),"",INDEX(Lists!$H$2:$L$6,MATCH(E11,Lists!$G$2:$G$6,0),MATCH(F11,Lists!$H$1:$L$1,0)))</f>
        <v/>
      </c>
      <c r="H11" s="5"/>
      <c r="I11" s="5"/>
      <c r="J11" s="5"/>
      <c r="K11" s="7"/>
      <c r="L11" s="7"/>
      <c r="M11" s="7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 t="str">
        <f>IF(OR(E12="",F12=""),"",INDEX(Lists!$H$2:$L$6,MATCH(E12,Lists!$G$2:$G$6,0),MATCH(F12,Lists!$H$1:$L$1,0)))</f>
        <v/>
      </c>
      <c r="H12" s="5"/>
      <c r="I12" s="5"/>
      <c r="J12" s="5"/>
      <c r="K12" s="7"/>
      <c r="L12" s="7"/>
      <c r="M12" s="7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 t="str">
        <f>IF(OR(E13="",F13=""),"",INDEX(Lists!$H$2:$L$6,MATCH(E13,Lists!$G$2:$G$6,0),MATCH(F13,Lists!$H$1:$L$1,0)))</f>
        <v/>
      </c>
      <c r="H13" s="5"/>
      <c r="I13" s="5"/>
      <c r="J13" s="5"/>
      <c r="K13" s="7"/>
      <c r="L13" s="7"/>
      <c r="M13" s="7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 t="str">
        <f>IF(OR(E14="",F14=""),"",INDEX(Lists!$H$2:$L$6,MATCH(E14,Lists!$G$2:$G$6,0),MATCH(F14,Lists!$H$1:$L$1,0)))</f>
        <v/>
      </c>
      <c r="H14" s="5"/>
      <c r="I14" s="5"/>
      <c r="J14" s="5"/>
      <c r="K14" s="7"/>
      <c r="L14" s="7"/>
      <c r="M14" s="7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 t="str">
        <f>IF(OR(E15="",F15=""),"",INDEX(Lists!$H$2:$L$6,MATCH(E15,Lists!$G$2:$G$6,0),MATCH(F15,Lists!$H$1:$L$1,0)))</f>
        <v/>
      </c>
      <c r="H15" s="5"/>
      <c r="I15" s="5"/>
      <c r="J15" s="5"/>
      <c r="K15" s="7"/>
      <c r="L15" s="7"/>
      <c r="M15" s="7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 t="str">
        <f>IF(OR(E16="",F16=""),"",INDEX(Lists!$H$2:$L$6,MATCH(E16,Lists!$G$2:$G$6,0),MATCH(F16,Lists!$H$1:$L$1,0)))</f>
        <v/>
      </c>
      <c r="H16" s="5"/>
      <c r="I16" s="5"/>
      <c r="J16" s="5"/>
      <c r="K16" s="7"/>
      <c r="L16" s="7"/>
      <c r="M16" s="7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 t="str">
        <f>IF(OR(E17="",F17=""),"",INDEX(Lists!$H$2:$L$6,MATCH(E17,Lists!$G$2:$G$6,0),MATCH(F17,Lists!$H$1:$L$1,0)))</f>
        <v/>
      </c>
      <c r="H17" s="5"/>
      <c r="I17" s="5"/>
      <c r="J17" s="5"/>
      <c r="K17" s="7"/>
      <c r="L17" s="7"/>
      <c r="M17" s="7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 t="str">
        <f>IF(OR(E18="",F18=""),"",INDEX(Lists!$H$2:$L$6,MATCH(E18,Lists!$G$2:$G$6,0),MATCH(F18,Lists!$H$1:$L$1,0)))</f>
        <v/>
      </c>
      <c r="H18" s="5"/>
      <c r="I18" s="5"/>
      <c r="J18" s="5"/>
      <c r="K18" s="7"/>
      <c r="L18" s="7"/>
      <c r="M18" s="7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 t="str">
        <f>IF(OR(E19="",F19=""),"",INDEX(Lists!$H$2:$L$6,MATCH(E19,Lists!$G$2:$G$6,0),MATCH(F19,Lists!$H$1:$L$1,0)))</f>
        <v/>
      </c>
      <c r="H19" s="5"/>
      <c r="I19" s="5"/>
      <c r="J19" s="5"/>
      <c r="K19" s="7"/>
      <c r="L19" s="7"/>
      <c r="M19" s="7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 t="str">
        <f>IF(OR(E20="",F20=""),"",INDEX(Lists!$H$2:$L$6,MATCH(E20,Lists!$G$2:$G$6,0),MATCH(F20,Lists!$H$1:$L$1,0)))</f>
        <v/>
      </c>
      <c r="H20" s="5"/>
      <c r="I20" s="5"/>
      <c r="J20" s="5"/>
      <c r="K20" s="7"/>
      <c r="L20" s="7"/>
      <c r="M20" s="7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 t="str">
        <f>IF(OR(E21="",F21=""),"",INDEX(Lists!$H$2:$L$6,MATCH(E21,Lists!$G$2:$G$6,0),MATCH(F21,Lists!$H$1:$L$1,0)))</f>
        <v/>
      </c>
      <c r="H21" s="5"/>
      <c r="I21" s="5"/>
      <c r="J21" s="5"/>
      <c r="K21" s="7"/>
      <c r="L21" s="7"/>
      <c r="M21" s="7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 t="str">
        <f>IF(OR(E22="",F22=""),"",INDEX(Lists!$H$2:$L$6,MATCH(E22,Lists!$G$2:$G$6,0),MATCH(F22,Lists!$H$1:$L$1,0)))</f>
        <v/>
      </c>
      <c r="H22" s="5"/>
      <c r="I22" s="5"/>
      <c r="J22" s="5"/>
      <c r="K22" s="7"/>
      <c r="L22" s="7"/>
      <c r="M22" s="7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 t="str">
        <f>IF(OR(E23="",F23=""),"",INDEX(Lists!$H$2:$L$6,MATCH(E23,Lists!$G$2:$G$6,0),MATCH(F23,Lists!$H$1:$L$1,0)))</f>
        <v/>
      </c>
      <c r="H23" s="5"/>
      <c r="I23" s="5"/>
      <c r="J23" s="5"/>
      <c r="K23" s="7"/>
      <c r="L23" s="7"/>
      <c r="M23" s="7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 t="str">
        <f>IF(OR(E24="",F24=""),"",INDEX(Lists!$H$2:$L$6,MATCH(E24,Lists!$G$2:$G$6,0),MATCH(F24,Lists!$H$1:$L$1,0)))</f>
        <v/>
      </c>
      <c r="H24" s="5"/>
      <c r="I24" s="5"/>
      <c r="J24" s="5"/>
      <c r="K24" s="7"/>
      <c r="L24" s="7"/>
      <c r="M24" s="7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 t="str">
        <f>IF(OR(E25="",F25=""),"",INDEX(Lists!$H$2:$L$6,MATCH(E25,Lists!$G$2:$G$6,0),MATCH(F25,Lists!$H$1:$L$1,0)))</f>
        <v/>
      </c>
      <c r="H25" s="5"/>
      <c r="I25" s="5"/>
      <c r="J25" s="5"/>
      <c r="K25" s="7"/>
      <c r="L25" s="7"/>
      <c r="M25" s="7"/>
      <c r="N25" s="5"/>
      <c r="O25" s="5"/>
    </row>
    <row r="26" spans="1:15" x14ac:dyDescent="0.2">
      <c r="A26" s="5"/>
      <c r="B26" s="5"/>
      <c r="C26" s="5"/>
      <c r="D26" s="5"/>
      <c r="E26" s="5"/>
      <c r="F26" s="5"/>
      <c r="G26" s="5" t="str">
        <f>IF(OR(E26="",F26=""),"",INDEX(Lists!$H$2:$L$6,MATCH(E26,Lists!$G$2:$G$6,0),MATCH(F26,Lists!$H$1:$L$1,0)))</f>
        <v/>
      </c>
      <c r="H26" s="5"/>
      <c r="I26" s="5"/>
      <c r="J26" s="5"/>
      <c r="K26" s="7"/>
      <c r="L26" s="7"/>
      <c r="M26" s="7"/>
      <c r="N26" s="5"/>
      <c r="O26" s="5"/>
    </row>
    <row r="27" spans="1:15" x14ac:dyDescent="0.2">
      <c r="A27" s="5"/>
      <c r="B27" s="5"/>
      <c r="C27" s="5"/>
      <c r="D27" s="5"/>
      <c r="E27" s="5"/>
      <c r="F27" s="5"/>
      <c r="G27" s="5" t="str">
        <f>IF(OR(E27="",F27=""),"",INDEX(Lists!$H$2:$L$6,MATCH(E27,Lists!$G$2:$G$6,0),MATCH(F27,Lists!$H$1:$L$1,0)))</f>
        <v/>
      </c>
      <c r="H27" s="5"/>
      <c r="I27" s="5"/>
      <c r="J27" s="5"/>
      <c r="K27" s="7"/>
      <c r="L27" s="7"/>
      <c r="M27" s="7"/>
      <c r="N27" s="5"/>
      <c r="O27" s="5"/>
    </row>
    <row r="28" spans="1:15" x14ac:dyDescent="0.2">
      <c r="A28" s="5"/>
      <c r="B28" s="5"/>
      <c r="C28" s="5"/>
      <c r="D28" s="5"/>
      <c r="E28" s="5"/>
      <c r="F28" s="5"/>
      <c r="G28" s="5" t="str">
        <f>IF(OR(E28="",F28=""),"",INDEX(Lists!$H$2:$L$6,MATCH(E28,Lists!$G$2:$G$6,0),MATCH(F28,Lists!$H$1:$L$1,0)))</f>
        <v/>
      </c>
      <c r="H28" s="5"/>
      <c r="I28" s="5"/>
      <c r="J28" s="5"/>
      <c r="K28" s="7"/>
      <c r="L28" s="7"/>
      <c r="M28" s="7"/>
      <c r="N28" s="5"/>
      <c r="O28" s="5"/>
    </row>
    <row r="29" spans="1:15" x14ac:dyDescent="0.2">
      <c r="A29" s="5"/>
      <c r="B29" s="5"/>
      <c r="C29" s="5"/>
      <c r="D29" s="5"/>
      <c r="E29" s="5"/>
      <c r="F29" s="5"/>
      <c r="G29" s="5" t="str">
        <f>IF(OR(E29="",F29=""),"",INDEX(Lists!$H$2:$L$6,MATCH(E29,Lists!$G$2:$G$6,0),MATCH(F29,Lists!$H$1:$L$1,0)))</f>
        <v/>
      </c>
      <c r="H29" s="5"/>
      <c r="I29" s="5"/>
      <c r="J29" s="5"/>
      <c r="K29" s="7"/>
      <c r="L29" s="7"/>
      <c r="M29" s="7"/>
      <c r="N29" s="5"/>
      <c r="O29" s="5"/>
    </row>
    <row r="30" spans="1:15" x14ac:dyDescent="0.2">
      <c r="A30" s="5"/>
      <c r="B30" s="5"/>
      <c r="C30" s="5"/>
      <c r="D30" s="5"/>
      <c r="E30" s="5"/>
      <c r="F30" s="5"/>
      <c r="G30" s="5" t="str">
        <f>IF(OR(E30="",F30=""),"",INDEX(Lists!$H$2:$L$6,MATCH(E30,Lists!$G$2:$G$6,0),MATCH(F30,Lists!$H$1:$L$1,0)))</f>
        <v/>
      </c>
      <c r="H30" s="5"/>
      <c r="I30" s="5"/>
      <c r="J30" s="5"/>
      <c r="K30" s="7"/>
      <c r="L30" s="7"/>
      <c r="M30" s="7"/>
      <c r="N30" s="5"/>
      <c r="O30" s="5"/>
    </row>
    <row r="31" spans="1:15" x14ac:dyDescent="0.2">
      <c r="A31" s="5"/>
      <c r="B31" s="5"/>
      <c r="C31" s="5"/>
      <c r="D31" s="5"/>
      <c r="E31" s="5"/>
      <c r="F31" s="5"/>
      <c r="G31" s="5" t="str">
        <f>IF(OR(E31="",F31=""),"",INDEX(Lists!$H$2:$L$6,MATCH(E31,Lists!$G$2:$G$6,0),MATCH(F31,Lists!$H$1:$L$1,0)))</f>
        <v/>
      </c>
      <c r="H31" s="5"/>
      <c r="I31" s="5"/>
      <c r="J31" s="5"/>
      <c r="K31" s="7"/>
      <c r="L31" s="7"/>
      <c r="M31" s="7"/>
      <c r="N31" s="5"/>
      <c r="O31" s="5"/>
    </row>
    <row r="32" spans="1:15" x14ac:dyDescent="0.2">
      <c r="A32" s="5"/>
      <c r="B32" s="5"/>
      <c r="C32" s="5"/>
      <c r="D32" s="5"/>
      <c r="E32" s="5"/>
      <c r="F32" s="5"/>
      <c r="G32" s="5" t="str">
        <f>IF(OR(E32="",F32=""),"",INDEX(Lists!$H$2:$L$6,MATCH(E32,Lists!$G$2:$G$6,0),MATCH(F32,Lists!$H$1:$L$1,0)))</f>
        <v/>
      </c>
      <c r="H32" s="5"/>
      <c r="I32" s="5"/>
      <c r="J32" s="5"/>
      <c r="K32" s="7"/>
      <c r="L32" s="7"/>
      <c r="M32" s="7"/>
      <c r="N32" s="5"/>
      <c r="O32" s="5"/>
    </row>
    <row r="33" spans="1:15" x14ac:dyDescent="0.2">
      <c r="A33" s="5"/>
      <c r="B33" s="5"/>
      <c r="C33" s="5"/>
      <c r="D33" s="5"/>
      <c r="E33" s="5"/>
      <c r="F33" s="5"/>
      <c r="G33" s="5" t="str">
        <f>IF(OR(E33="",F33=""),"",INDEX(Lists!$H$2:$L$6,MATCH(E33,Lists!$G$2:$G$6,0),MATCH(F33,Lists!$H$1:$L$1,0)))</f>
        <v/>
      </c>
      <c r="H33" s="5"/>
      <c r="I33" s="5"/>
      <c r="J33" s="5"/>
      <c r="K33" s="7"/>
      <c r="L33" s="7"/>
      <c r="M33" s="7"/>
      <c r="N33" s="5"/>
      <c r="O33" s="5"/>
    </row>
    <row r="34" spans="1:15" x14ac:dyDescent="0.2">
      <c r="A34" s="5"/>
      <c r="B34" s="5"/>
      <c r="C34" s="5"/>
      <c r="D34" s="5"/>
      <c r="E34" s="5"/>
      <c r="F34" s="5"/>
      <c r="G34" s="5" t="str">
        <f>IF(OR(E34="",F34=""),"",INDEX(Lists!$H$2:$L$6,MATCH(E34,Lists!$G$2:$G$6,0),MATCH(F34,Lists!$H$1:$L$1,0)))</f>
        <v/>
      </c>
      <c r="H34" s="5"/>
      <c r="I34" s="5"/>
      <c r="J34" s="5"/>
      <c r="K34" s="7"/>
      <c r="L34" s="7"/>
      <c r="M34" s="7"/>
      <c r="N34" s="5"/>
      <c r="O34" s="5"/>
    </row>
    <row r="35" spans="1:15" x14ac:dyDescent="0.2">
      <c r="A35" s="5"/>
      <c r="B35" s="5"/>
      <c r="C35" s="5"/>
      <c r="D35" s="5"/>
      <c r="E35" s="5"/>
      <c r="F35" s="5"/>
      <c r="G35" s="5" t="str">
        <f>IF(OR(E35="",F35=""),"",INDEX(Lists!$H$2:$L$6,MATCH(E35,Lists!$G$2:$G$6,0),MATCH(F35,Lists!$H$1:$L$1,0)))</f>
        <v/>
      </c>
      <c r="H35" s="5"/>
      <c r="I35" s="5"/>
      <c r="J35" s="5"/>
      <c r="K35" s="7"/>
      <c r="L35" s="7"/>
      <c r="M35" s="7"/>
      <c r="N35" s="5"/>
      <c r="O35" s="5"/>
    </row>
    <row r="36" spans="1:15" x14ac:dyDescent="0.2">
      <c r="A36" s="5"/>
      <c r="B36" s="5"/>
      <c r="C36" s="5"/>
      <c r="D36" s="5"/>
      <c r="E36" s="5"/>
      <c r="F36" s="5"/>
      <c r="G36" s="5" t="str">
        <f>IF(OR(E36="",F36=""),"",INDEX(Lists!$H$2:$L$6,MATCH(E36,Lists!$G$2:$G$6,0),MATCH(F36,Lists!$H$1:$L$1,0)))</f>
        <v/>
      </c>
      <c r="H36" s="5"/>
      <c r="I36" s="5"/>
      <c r="J36" s="5"/>
      <c r="K36" s="7"/>
      <c r="L36" s="7"/>
      <c r="M36" s="7"/>
      <c r="N36" s="5"/>
      <c r="O36" s="5"/>
    </row>
    <row r="37" spans="1:15" x14ac:dyDescent="0.2">
      <c r="A37" s="5"/>
      <c r="B37" s="5"/>
      <c r="C37" s="5"/>
      <c r="D37" s="5"/>
      <c r="E37" s="5"/>
      <c r="F37" s="5"/>
      <c r="G37" s="5" t="str">
        <f>IF(OR(E37="",F37=""),"",INDEX(Lists!$H$2:$L$6,MATCH(E37,Lists!$G$2:$G$6,0),MATCH(F37,Lists!$H$1:$L$1,0)))</f>
        <v/>
      </c>
      <c r="H37" s="5"/>
      <c r="I37" s="5"/>
      <c r="J37" s="5"/>
      <c r="K37" s="7"/>
      <c r="L37" s="7"/>
      <c r="M37" s="7"/>
      <c r="N37" s="5"/>
      <c r="O37" s="5"/>
    </row>
    <row r="38" spans="1:15" x14ac:dyDescent="0.2">
      <c r="A38" s="5"/>
      <c r="B38" s="5"/>
      <c r="C38" s="5"/>
      <c r="D38" s="5"/>
      <c r="E38" s="5"/>
      <c r="F38" s="5"/>
      <c r="G38" s="5" t="str">
        <f>IF(OR(E38="",F38=""),"",INDEX(Lists!$H$2:$L$6,MATCH(E38,Lists!$G$2:$G$6,0),MATCH(F38,Lists!$H$1:$L$1,0)))</f>
        <v/>
      </c>
      <c r="H38" s="5"/>
      <c r="I38" s="5"/>
      <c r="J38" s="5"/>
      <c r="K38" s="7"/>
      <c r="L38" s="7"/>
      <c r="M38" s="7"/>
      <c r="N38" s="5"/>
      <c r="O38" s="5"/>
    </row>
    <row r="39" spans="1:15" x14ac:dyDescent="0.2">
      <c r="A39" s="5"/>
      <c r="B39" s="5"/>
      <c r="C39" s="5"/>
      <c r="D39" s="5"/>
      <c r="E39" s="5"/>
      <c r="F39" s="5"/>
      <c r="G39" s="5" t="str">
        <f>IF(OR(E39="",F39=""),"",INDEX(Lists!$H$2:$L$6,MATCH(E39,Lists!$G$2:$G$6,0),MATCH(F39,Lists!$H$1:$L$1,0)))</f>
        <v/>
      </c>
      <c r="H39" s="5"/>
      <c r="I39" s="5"/>
      <c r="J39" s="5"/>
      <c r="K39" s="7"/>
      <c r="L39" s="7"/>
      <c r="M39" s="7"/>
      <c r="N39" s="5"/>
      <c r="O39" s="5"/>
    </row>
    <row r="40" spans="1:15" x14ac:dyDescent="0.2">
      <c r="A40" s="5"/>
      <c r="B40" s="5"/>
      <c r="C40" s="5"/>
      <c r="D40" s="5"/>
      <c r="E40" s="5"/>
      <c r="F40" s="5"/>
      <c r="G40" s="5" t="str">
        <f>IF(OR(E40="",F40=""),"",INDEX(Lists!$H$2:$L$6,MATCH(E40,Lists!$G$2:$G$6,0),MATCH(F40,Lists!$H$1:$L$1,0)))</f>
        <v/>
      </c>
      <c r="H40" s="5"/>
      <c r="I40" s="5"/>
      <c r="J40" s="5"/>
      <c r="K40" s="7"/>
      <c r="L40" s="7"/>
      <c r="M40" s="7"/>
      <c r="N40" s="5"/>
      <c r="O40" s="5"/>
    </row>
    <row r="41" spans="1:15" x14ac:dyDescent="0.2">
      <c r="A41" s="5"/>
      <c r="B41" s="5"/>
      <c r="C41" s="5"/>
      <c r="D41" s="5"/>
      <c r="E41" s="5"/>
      <c r="F41" s="5"/>
      <c r="G41" s="5" t="str">
        <f>IF(OR(E41="",F41=""),"",INDEX(Lists!$H$2:$L$6,MATCH(E41,Lists!$G$2:$G$6,0),MATCH(F41,Lists!$H$1:$L$1,0)))</f>
        <v/>
      </c>
      <c r="H41" s="5"/>
      <c r="I41" s="5"/>
      <c r="J41" s="5"/>
      <c r="K41" s="7"/>
      <c r="L41" s="7"/>
      <c r="M41" s="7"/>
      <c r="N41" s="5"/>
      <c r="O41" s="5"/>
    </row>
    <row r="42" spans="1:15" x14ac:dyDescent="0.2">
      <c r="A42" s="5"/>
      <c r="B42" s="5"/>
      <c r="C42" s="5"/>
      <c r="D42" s="5"/>
      <c r="E42" s="5"/>
      <c r="F42" s="5"/>
      <c r="G42" s="5" t="str">
        <f>IF(OR(E42="",F42=""),"",INDEX(Lists!$H$2:$L$6,MATCH(E42,Lists!$G$2:$G$6,0),MATCH(F42,Lists!$H$1:$L$1,0)))</f>
        <v/>
      </c>
      <c r="H42" s="5"/>
      <c r="I42" s="5"/>
      <c r="J42" s="5"/>
      <c r="K42" s="7"/>
      <c r="L42" s="7"/>
      <c r="M42" s="7"/>
      <c r="N42" s="5"/>
      <c r="O42" s="5"/>
    </row>
    <row r="43" spans="1:15" x14ac:dyDescent="0.2">
      <c r="A43" s="5"/>
      <c r="B43" s="5"/>
      <c r="C43" s="5"/>
      <c r="D43" s="5"/>
      <c r="E43" s="5"/>
      <c r="F43" s="5"/>
      <c r="G43" s="5" t="str">
        <f>IF(OR(E43="",F43=""),"",INDEX(Lists!$H$2:$L$6,MATCH(E43,Lists!$G$2:$G$6,0),MATCH(F43,Lists!$H$1:$L$1,0)))</f>
        <v/>
      </c>
      <c r="H43" s="5"/>
      <c r="I43" s="5"/>
      <c r="J43" s="5"/>
      <c r="K43" s="7"/>
      <c r="L43" s="7"/>
      <c r="M43" s="7"/>
      <c r="N43" s="5"/>
      <c r="O43" s="5"/>
    </row>
    <row r="44" spans="1:15" x14ac:dyDescent="0.2">
      <c r="A44" s="5"/>
      <c r="B44" s="5"/>
      <c r="C44" s="5"/>
      <c r="D44" s="5"/>
      <c r="E44" s="5"/>
      <c r="F44" s="5"/>
      <c r="G44" s="5" t="str">
        <f>IF(OR(E44="",F44=""),"",INDEX(Lists!$H$2:$L$6,MATCH(E44,Lists!$G$2:$G$6,0),MATCH(F44,Lists!$H$1:$L$1,0)))</f>
        <v/>
      </c>
      <c r="H44" s="5"/>
      <c r="I44" s="5"/>
      <c r="J44" s="5"/>
      <c r="K44" s="7"/>
      <c r="L44" s="7"/>
      <c r="M44" s="7"/>
      <c r="N44" s="5"/>
      <c r="O44" s="5"/>
    </row>
    <row r="45" spans="1:15" x14ac:dyDescent="0.2">
      <c r="A45" s="5"/>
      <c r="B45" s="5"/>
      <c r="C45" s="5"/>
      <c r="D45" s="5"/>
      <c r="E45" s="5"/>
      <c r="F45" s="5"/>
      <c r="G45" s="5" t="str">
        <f>IF(OR(E45="",F45=""),"",INDEX(Lists!$H$2:$L$6,MATCH(E45,Lists!$G$2:$G$6,0),MATCH(F45,Lists!$H$1:$L$1,0)))</f>
        <v/>
      </c>
      <c r="H45" s="5"/>
      <c r="I45" s="5"/>
      <c r="J45" s="5"/>
      <c r="K45" s="7"/>
      <c r="L45" s="7"/>
      <c r="M45" s="7"/>
      <c r="N45" s="5"/>
      <c r="O45" s="5"/>
    </row>
    <row r="46" spans="1:15" x14ac:dyDescent="0.2">
      <c r="A46" s="5"/>
      <c r="B46" s="5"/>
      <c r="C46" s="5"/>
      <c r="D46" s="5"/>
      <c r="E46" s="5"/>
      <c r="F46" s="5"/>
      <c r="G46" s="5" t="str">
        <f>IF(OR(E46="",F46=""),"",INDEX(Lists!$H$2:$L$6,MATCH(E46,Lists!$G$2:$G$6,0),MATCH(F46,Lists!$H$1:$L$1,0)))</f>
        <v/>
      </c>
      <c r="H46" s="5"/>
      <c r="I46" s="5"/>
      <c r="J46" s="5"/>
      <c r="K46" s="7"/>
      <c r="L46" s="7"/>
      <c r="M46" s="7"/>
      <c r="N46" s="5"/>
      <c r="O46" s="5"/>
    </row>
    <row r="47" spans="1:15" x14ac:dyDescent="0.2">
      <c r="A47" s="5"/>
      <c r="B47" s="5"/>
      <c r="C47" s="5"/>
      <c r="D47" s="5"/>
      <c r="E47" s="5"/>
      <c r="F47" s="5"/>
      <c r="G47" s="5" t="str">
        <f>IF(OR(E47="",F47=""),"",INDEX(Lists!$H$2:$L$6,MATCH(E47,Lists!$G$2:$G$6,0),MATCH(F47,Lists!$H$1:$L$1,0)))</f>
        <v/>
      </c>
      <c r="H47" s="5"/>
      <c r="I47" s="5"/>
      <c r="J47" s="5"/>
      <c r="K47" s="7"/>
      <c r="L47" s="7"/>
      <c r="M47" s="7"/>
      <c r="N47" s="5"/>
      <c r="O47" s="5"/>
    </row>
    <row r="48" spans="1:15" x14ac:dyDescent="0.2">
      <c r="A48" s="5"/>
      <c r="B48" s="5"/>
      <c r="C48" s="5"/>
      <c r="D48" s="5"/>
      <c r="E48" s="5"/>
      <c r="F48" s="5"/>
      <c r="G48" s="5" t="str">
        <f>IF(OR(E48="",F48=""),"",INDEX(Lists!$H$2:$L$6,MATCH(E48,Lists!$G$2:$G$6,0),MATCH(F48,Lists!$H$1:$L$1,0)))</f>
        <v/>
      </c>
      <c r="H48" s="5"/>
      <c r="I48" s="5"/>
      <c r="J48" s="5"/>
      <c r="K48" s="7"/>
      <c r="L48" s="7"/>
      <c r="M48" s="7"/>
      <c r="N48" s="5"/>
      <c r="O48" s="5"/>
    </row>
    <row r="49" spans="1:15" x14ac:dyDescent="0.2">
      <c r="A49" s="5"/>
      <c r="B49" s="5"/>
      <c r="C49" s="5"/>
      <c r="D49" s="5"/>
      <c r="E49" s="5"/>
      <c r="F49" s="5"/>
      <c r="G49" s="5" t="str">
        <f>IF(OR(E49="",F49=""),"",INDEX(Lists!$H$2:$L$6,MATCH(E49,Lists!$G$2:$G$6,0),MATCH(F49,Lists!$H$1:$L$1,0)))</f>
        <v/>
      </c>
      <c r="H49" s="5"/>
      <c r="I49" s="5"/>
      <c r="J49" s="5"/>
      <c r="K49" s="7"/>
      <c r="L49" s="7"/>
      <c r="M49" s="7"/>
      <c r="N49" s="5"/>
      <c r="O49" s="5"/>
    </row>
    <row r="50" spans="1:15" x14ac:dyDescent="0.2">
      <c r="A50" s="5"/>
      <c r="B50" s="5"/>
      <c r="C50" s="5"/>
      <c r="D50" s="5"/>
      <c r="E50" s="5"/>
      <c r="F50" s="5"/>
      <c r="G50" s="5" t="str">
        <f>IF(OR(E50="",F50=""),"",INDEX(Lists!$H$2:$L$6,MATCH(E50,Lists!$G$2:$G$6,0),MATCH(F50,Lists!$H$1:$L$1,0)))</f>
        <v/>
      </c>
      <c r="H50" s="5"/>
      <c r="I50" s="5"/>
      <c r="J50" s="5"/>
      <c r="K50" s="7"/>
      <c r="L50" s="7"/>
      <c r="M50" s="7"/>
      <c r="N50" s="5"/>
      <c r="O50" s="5"/>
    </row>
    <row r="51" spans="1:15" x14ac:dyDescent="0.2">
      <c r="A51" s="5"/>
      <c r="B51" s="5"/>
      <c r="C51" s="5"/>
      <c r="D51" s="5"/>
      <c r="E51" s="5"/>
      <c r="F51" s="5"/>
      <c r="G51" s="5" t="str">
        <f>IF(OR(E51="",F51=""),"",INDEX(Lists!$H$2:$L$6,MATCH(E51,Lists!$G$2:$G$6,0),MATCH(F51,Lists!$H$1:$L$1,0)))</f>
        <v/>
      </c>
      <c r="H51" s="5"/>
      <c r="I51" s="5"/>
      <c r="J51" s="5"/>
      <c r="K51" s="7"/>
      <c r="L51" s="7"/>
      <c r="M51" s="7"/>
      <c r="N51" s="5"/>
      <c r="O51" s="5"/>
    </row>
    <row r="52" spans="1:15" x14ac:dyDescent="0.2">
      <c r="A52" s="5"/>
      <c r="B52" s="5"/>
      <c r="C52" s="5"/>
      <c r="D52" s="5"/>
      <c r="E52" s="5"/>
      <c r="F52" s="5"/>
      <c r="G52" s="5" t="str">
        <f>IF(OR(E52="",F52=""),"",INDEX(Lists!$H$2:$L$6,MATCH(E52,Lists!$G$2:$G$6,0),MATCH(F52,Lists!$H$1:$L$1,0)))</f>
        <v/>
      </c>
      <c r="H52" s="5"/>
      <c r="I52" s="5"/>
      <c r="J52" s="5"/>
      <c r="K52" s="7"/>
      <c r="L52" s="7"/>
      <c r="M52" s="7"/>
      <c r="N52" s="5"/>
      <c r="O52" s="5"/>
    </row>
    <row r="53" spans="1:15" x14ac:dyDescent="0.2">
      <c r="A53" s="5"/>
      <c r="B53" s="5"/>
      <c r="C53" s="5"/>
      <c r="D53" s="5"/>
      <c r="E53" s="5"/>
      <c r="F53" s="5"/>
      <c r="G53" s="5" t="str">
        <f>IF(OR(E53="",F53=""),"",INDEX(Lists!$H$2:$L$6,MATCH(E53,Lists!$G$2:$G$6,0),MATCH(F53,Lists!$H$1:$L$1,0)))</f>
        <v/>
      </c>
      <c r="H53" s="5"/>
      <c r="I53" s="5"/>
      <c r="J53" s="5"/>
      <c r="K53" s="7"/>
      <c r="L53" s="7"/>
      <c r="M53" s="7"/>
      <c r="N53" s="5"/>
      <c r="O53" s="5"/>
    </row>
    <row r="54" spans="1:15" x14ac:dyDescent="0.2">
      <c r="A54" s="5"/>
      <c r="B54" s="5"/>
      <c r="C54" s="5"/>
      <c r="D54" s="5"/>
      <c r="E54" s="5"/>
      <c r="F54" s="5"/>
      <c r="G54" s="5" t="str">
        <f>IF(OR(E54="",F54=""),"",INDEX(Lists!$H$2:$L$6,MATCH(E54,Lists!$G$2:$G$6,0),MATCH(F54,Lists!$H$1:$L$1,0)))</f>
        <v/>
      </c>
      <c r="H54" s="5"/>
      <c r="I54" s="5"/>
      <c r="J54" s="5"/>
      <c r="K54" s="7"/>
      <c r="L54" s="7"/>
      <c r="M54" s="7"/>
      <c r="N54" s="5"/>
      <c r="O54" s="5"/>
    </row>
    <row r="55" spans="1:15" x14ac:dyDescent="0.2">
      <c r="A55" s="5"/>
      <c r="B55" s="5"/>
      <c r="C55" s="5"/>
      <c r="D55" s="5"/>
      <c r="E55" s="5"/>
      <c r="F55" s="5"/>
      <c r="G55" s="5" t="str">
        <f>IF(OR(E55="",F55=""),"",INDEX(Lists!$H$2:$L$6,MATCH(E55,Lists!$G$2:$G$6,0),MATCH(F55,Lists!$H$1:$L$1,0)))</f>
        <v/>
      </c>
      <c r="H55" s="5"/>
      <c r="I55" s="5"/>
      <c r="J55" s="5"/>
      <c r="K55" s="7"/>
      <c r="L55" s="7"/>
      <c r="M55" s="7"/>
      <c r="N55" s="5"/>
      <c r="O55" s="5"/>
    </row>
    <row r="56" spans="1:15" x14ac:dyDescent="0.2">
      <c r="A56" s="5"/>
      <c r="B56" s="5"/>
      <c r="C56" s="5"/>
      <c r="D56" s="5"/>
      <c r="E56" s="5"/>
      <c r="F56" s="5"/>
      <c r="G56" s="5" t="str">
        <f>IF(OR(E56="",F56=""),"",INDEX(Lists!$H$2:$L$6,MATCH(E56,Lists!$G$2:$G$6,0),MATCH(F56,Lists!$H$1:$L$1,0)))</f>
        <v/>
      </c>
      <c r="H56" s="5"/>
      <c r="I56" s="5"/>
      <c r="J56" s="5"/>
      <c r="K56" s="7"/>
      <c r="L56" s="7"/>
      <c r="M56" s="7"/>
      <c r="N56" s="5"/>
      <c r="O56" s="5"/>
    </row>
    <row r="57" spans="1:15" x14ac:dyDescent="0.2">
      <c r="A57" s="5"/>
      <c r="B57" s="5"/>
      <c r="C57" s="5"/>
      <c r="D57" s="5"/>
      <c r="E57" s="5"/>
      <c r="F57" s="5"/>
      <c r="G57" s="5" t="str">
        <f>IF(OR(E57="",F57=""),"",INDEX(Lists!$H$2:$L$6,MATCH(E57,Lists!$G$2:$G$6,0),MATCH(F57,Lists!$H$1:$L$1,0)))</f>
        <v/>
      </c>
      <c r="H57" s="5"/>
      <c r="I57" s="5"/>
      <c r="J57" s="5"/>
      <c r="K57" s="7"/>
      <c r="L57" s="7"/>
      <c r="M57" s="7"/>
      <c r="N57" s="5"/>
      <c r="O57" s="5"/>
    </row>
    <row r="58" spans="1:15" x14ac:dyDescent="0.2">
      <c r="A58" s="5"/>
      <c r="B58" s="5"/>
      <c r="C58" s="5"/>
      <c r="D58" s="5"/>
      <c r="E58" s="5"/>
      <c r="F58" s="5"/>
      <c r="G58" s="5" t="str">
        <f>IF(OR(E58="",F58=""),"",INDEX(Lists!$H$2:$L$6,MATCH(E58,Lists!$G$2:$G$6,0),MATCH(F58,Lists!$H$1:$L$1,0)))</f>
        <v/>
      </c>
      <c r="H58" s="5"/>
      <c r="I58" s="5"/>
      <c r="J58" s="5"/>
      <c r="K58" s="7"/>
      <c r="L58" s="7"/>
      <c r="M58" s="7"/>
      <c r="N58" s="5"/>
      <c r="O58" s="5"/>
    </row>
    <row r="59" spans="1:15" x14ac:dyDescent="0.2">
      <c r="A59" s="5"/>
      <c r="B59" s="5"/>
      <c r="C59" s="5"/>
      <c r="D59" s="5"/>
      <c r="E59" s="5"/>
      <c r="F59" s="5"/>
      <c r="G59" s="5" t="str">
        <f>IF(OR(E59="",F59=""),"",INDEX(Lists!$H$2:$L$6,MATCH(E59,Lists!$G$2:$G$6,0),MATCH(F59,Lists!$H$1:$L$1,0)))</f>
        <v/>
      </c>
      <c r="H59" s="5"/>
      <c r="I59" s="5"/>
      <c r="J59" s="5"/>
      <c r="K59" s="7"/>
      <c r="L59" s="7"/>
      <c r="M59" s="7"/>
      <c r="N59" s="5"/>
      <c r="O59" s="5"/>
    </row>
    <row r="60" spans="1:15" x14ac:dyDescent="0.2">
      <c r="A60" s="5"/>
      <c r="B60" s="5"/>
      <c r="C60" s="5"/>
      <c r="D60" s="5"/>
      <c r="E60" s="5"/>
      <c r="F60" s="5"/>
      <c r="G60" s="5" t="str">
        <f>IF(OR(E60="",F60=""),"",INDEX(Lists!$H$2:$L$6,MATCH(E60,Lists!$G$2:$G$6,0),MATCH(F60,Lists!$H$1:$L$1,0)))</f>
        <v/>
      </c>
      <c r="H60" s="5"/>
      <c r="I60" s="5"/>
      <c r="J60" s="5"/>
      <c r="K60" s="7"/>
      <c r="L60" s="7"/>
      <c r="M60" s="7"/>
      <c r="N60" s="5"/>
      <c r="O60" s="5"/>
    </row>
  </sheetData>
  <conditionalFormatting sqref="G2:G60">
    <cfRule type="cellIs" dxfId="4" priority="1" operator="equal">
      <formula>"Critical"</formula>
    </cfRule>
    <cfRule type="cellIs" dxfId="3" priority="2" operator="equal">
      <formula>"High"</formula>
    </cfRule>
    <cfRule type="cellIs" dxfId="2" priority="3" operator="equal">
      <formula>"Moderate"</formula>
    </cfRule>
    <cfRule type="cellIs" dxfId="1" priority="4" operator="equal">
      <formula>"Low"</formula>
    </cfRule>
    <cfRule type="cellIs" dxfId="0" priority="5" operator="equal">
      <formula>"Very Low"</formula>
    </cfRule>
  </conditionalFormatting>
  <dataValidations count="5">
    <dataValidation type="list" allowBlank="1" sqref="E2:E60" xr:uid="{00000000-0002-0000-0300-000000000000}">
      <formula1>LikelihoodOptions</formula1>
    </dataValidation>
    <dataValidation type="list" allowBlank="1" sqref="F2:F60" xr:uid="{00000000-0002-0000-0300-000001000000}">
      <formula1>ImpactOptions</formula1>
    </dataValidation>
    <dataValidation type="list" allowBlank="1" sqref="I2:I60" xr:uid="{00000000-0002-0000-0300-000002000000}">
      <formula1>TreatmentOptions</formula1>
    </dataValidation>
    <dataValidation type="list" allowBlank="1" sqref="J2:J60" xr:uid="{00000000-0002-0000-0300-000003000000}">
      <formula1>POCOptions</formula1>
    </dataValidation>
    <dataValidation type="list" allowBlank="1" sqref="N2:N60" xr:uid="{00000000-0002-0000-0300-000004000000}">
      <formula1>StatusOptions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topLeftCell="A12" workbookViewId="0">
      <selection sqref="A1:D3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40" customWidth="1"/>
    <col min="4" max="4" width="42" customWidth="1"/>
  </cols>
  <sheetData>
    <row r="1" spans="1:4" x14ac:dyDescent="0.2">
      <c r="A1" s="22" t="s">
        <v>120</v>
      </c>
      <c r="B1" s="23"/>
      <c r="C1" s="23"/>
      <c r="D1" s="24"/>
    </row>
    <row r="2" spans="1:4" x14ac:dyDescent="0.2">
      <c r="A2" s="25"/>
      <c r="B2" s="26"/>
      <c r="C2" s="26"/>
      <c r="D2" s="27"/>
    </row>
    <row r="3" spans="1:4" x14ac:dyDescent="0.2">
      <c r="A3" s="28"/>
      <c r="B3" s="21"/>
      <c r="C3" s="21"/>
      <c r="D3" s="29"/>
    </row>
    <row r="5" spans="1:4" x14ac:dyDescent="0.2">
      <c r="A5" s="8" t="s">
        <v>121</v>
      </c>
      <c r="B5" s="8" t="s">
        <v>122</v>
      </c>
      <c r="C5" s="8" t="s">
        <v>123</v>
      </c>
      <c r="D5" s="8" t="s">
        <v>124</v>
      </c>
    </row>
    <row r="6" spans="1:4" ht="53.25" customHeight="1" x14ac:dyDescent="0.2">
      <c r="A6" s="9" t="s">
        <v>125</v>
      </c>
      <c r="B6" s="9" t="s">
        <v>126</v>
      </c>
      <c r="C6" s="9" t="s">
        <v>127</v>
      </c>
      <c r="D6" s="9" t="s">
        <v>128</v>
      </c>
    </row>
    <row r="7" spans="1:4" ht="53.25" customHeight="1" x14ac:dyDescent="0.2">
      <c r="A7" s="9" t="s">
        <v>125</v>
      </c>
      <c r="B7" s="9" t="s">
        <v>129</v>
      </c>
      <c r="C7" s="9" t="s">
        <v>130</v>
      </c>
      <c r="D7" s="9" t="s">
        <v>131</v>
      </c>
    </row>
    <row r="8" spans="1:4" ht="53.25" customHeight="1" x14ac:dyDescent="0.2">
      <c r="A8" s="9" t="s">
        <v>132</v>
      </c>
      <c r="B8" s="9" t="s">
        <v>133</v>
      </c>
      <c r="C8" s="9" t="s">
        <v>134</v>
      </c>
      <c r="D8" s="9" t="s">
        <v>135</v>
      </c>
    </row>
    <row r="9" spans="1:4" ht="53.25" customHeight="1" x14ac:dyDescent="0.2">
      <c r="A9" s="9" t="s">
        <v>132</v>
      </c>
      <c r="B9" s="9" t="s">
        <v>136</v>
      </c>
      <c r="C9" s="9" t="s">
        <v>137</v>
      </c>
      <c r="D9" s="9" t="s">
        <v>138</v>
      </c>
    </row>
    <row r="10" spans="1:4" ht="53.25" customHeight="1" x14ac:dyDescent="0.2">
      <c r="A10" s="9" t="s">
        <v>139</v>
      </c>
      <c r="B10" s="9" t="s">
        <v>140</v>
      </c>
      <c r="C10" s="9" t="s">
        <v>141</v>
      </c>
      <c r="D10" s="9" t="s">
        <v>142</v>
      </c>
    </row>
    <row r="11" spans="1:4" ht="53.25" customHeight="1" x14ac:dyDescent="0.2">
      <c r="A11" s="9" t="s">
        <v>139</v>
      </c>
      <c r="B11" s="9" t="s">
        <v>143</v>
      </c>
      <c r="C11" s="9" t="s">
        <v>144</v>
      </c>
      <c r="D11" s="9" t="s">
        <v>145</v>
      </c>
    </row>
    <row r="12" spans="1:4" ht="53.25" customHeight="1" x14ac:dyDescent="0.2">
      <c r="A12" s="9" t="s">
        <v>146</v>
      </c>
      <c r="B12" s="9" t="s">
        <v>147</v>
      </c>
      <c r="C12" s="9" t="s">
        <v>148</v>
      </c>
      <c r="D12" s="9" t="s">
        <v>149</v>
      </c>
    </row>
    <row r="13" spans="1:4" ht="53.25" customHeight="1" x14ac:dyDescent="0.2">
      <c r="A13" s="9" t="s">
        <v>150</v>
      </c>
      <c r="B13" s="9" t="s">
        <v>151</v>
      </c>
      <c r="C13" s="9" t="s">
        <v>152</v>
      </c>
      <c r="D13" s="9" t="s">
        <v>153</v>
      </c>
    </row>
    <row r="14" spans="1:4" ht="53.25" customHeight="1" x14ac:dyDescent="0.2">
      <c r="A14" s="9" t="s">
        <v>150</v>
      </c>
      <c r="B14" s="9" t="s">
        <v>154</v>
      </c>
      <c r="C14" s="9" t="s">
        <v>155</v>
      </c>
      <c r="D14" s="9" t="s">
        <v>156</v>
      </c>
    </row>
    <row r="15" spans="1:4" ht="53.25" customHeight="1" x14ac:dyDescent="0.2">
      <c r="A15" s="9" t="s">
        <v>157</v>
      </c>
      <c r="B15" s="9" t="s">
        <v>158</v>
      </c>
      <c r="C15" s="9" t="s">
        <v>159</v>
      </c>
      <c r="D15" s="9" t="s">
        <v>160</v>
      </c>
    </row>
    <row r="16" spans="1:4" ht="53.25" customHeight="1" x14ac:dyDescent="0.2">
      <c r="A16" s="9" t="s">
        <v>161</v>
      </c>
      <c r="B16" s="9" t="s">
        <v>162</v>
      </c>
      <c r="C16" s="9" t="s">
        <v>163</v>
      </c>
      <c r="D16" s="9" t="s">
        <v>164</v>
      </c>
    </row>
    <row r="17" spans="1:4" ht="53.25" customHeight="1" x14ac:dyDescent="0.2">
      <c r="A17" s="9" t="s">
        <v>165</v>
      </c>
      <c r="B17" s="9" t="s">
        <v>166</v>
      </c>
      <c r="C17" s="9" t="s">
        <v>167</v>
      </c>
      <c r="D17" s="9" t="s">
        <v>168</v>
      </c>
    </row>
    <row r="18" spans="1:4" ht="53.25" customHeight="1" x14ac:dyDescent="0.2">
      <c r="A18" s="9" t="s">
        <v>165</v>
      </c>
      <c r="B18" s="9" t="s">
        <v>169</v>
      </c>
      <c r="C18" s="9" t="s">
        <v>170</v>
      </c>
      <c r="D18" s="9" t="s">
        <v>171</v>
      </c>
    </row>
    <row r="19" spans="1:4" ht="53.25" customHeight="1" x14ac:dyDescent="0.2">
      <c r="A19" s="9" t="s">
        <v>172</v>
      </c>
      <c r="B19" s="9" t="s">
        <v>173</v>
      </c>
      <c r="C19" s="9" t="s">
        <v>174</v>
      </c>
      <c r="D19" s="9" t="s">
        <v>175</v>
      </c>
    </row>
  </sheetData>
  <mergeCells count="1">
    <mergeCell ref="A1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topLeftCell="A2" workbookViewId="0">
      <selection sqref="A1:C3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68" customWidth="1"/>
    <col min="6" max="6" width="14" customWidth="1"/>
    <col min="7" max="10" width="12" customWidth="1"/>
    <col min="11" max="11" width="14" customWidth="1"/>
  </cols>
  <sheetData>
    <row r="1" spans="1:11" ht="37.25" customHeight="1" x14ac:dyDescent="0.2">
      <c r="A1" s="32" t="s">
        <v>176</v>
      </c>
      <c r="B1" s="23"/>
      <c r="C1" s="24"/>
      <c r="F1" s="32" t="s">
        <v>177</v>
      </c>
      <c r="G1" s="23"/>
      <c r="H1" s="23"/>
      <c r="I1" s="23"/>
      <c r="J1" s="23"/>
      <c r="K1" s="24"/>
    </row>
    <row r="2" spans="1:11" ht="34.75" customHeight="1" x14ac:dyDescent="0.2">
      <c r="A2" s="25"/>
      <c r="B2" s="26"/>
      <c r="C2" s="27"/>
      <c r="F2" s="25"/>
      <c r="G2" s="26"/>
      <c r="H2" s="26"/>
      <c r="I2" s="26"/>
      <c r="J2" s="26"/>
      <c r="K2" s="27"/>
    </row>
    <row r="3" spans="1:11" ht="34.75" customHeight="1" x14ac:dyDescent="0.2">
      <c r="A3" s="28"/>
      <c r="B3" s="21"/>
      <c r="C3" s="29"/>
      <c r="F3" s="28"/>
      <c r="G3" s="21"/>
      <c r="H3" s="21"/>
      <c r="I3" s="21"/>
      <c r="J3" s="21"/>
      <c r="K3" s="29"/>
    </row>
    <row r="5" spans="1:11" ht="19" x14ac:dyDescent="0.25">
      <c r="A5" s="31" t="s">
        <v>178</v>
      </c>
      <c r="B5" s="26"/>
      <c r="C5" s="26"/>
      <c r="F5" s="30" t="s">
        <v>179</v>
      </c>
      <c r="G5" s="26"/>
      <c r="H5" s="26"/>
      <c r="I5" s="26"/>
      <c r="J5" s="26"/>
      <c r="K5" s="26"/>
    </row>
    <row r="6" spans="1:11" x14ac:dyDescent="0.2">
      <c r="A6" s="10" t="s">
        <v>180</v>
      </c>
      <c r="B6" s="10" t="s">
        <v>181</v>
      </c>
      <c r="C6" s="10" t="s">
        <v>182</v>
      </c>
      <c r="G6" s="11" t="s">
        <v>1</v>
      </c>
    </row>
    <row r="7" spans="1:11" ht="30" x14ac:dyDescent="0.2">
      <c r="A7" s="12" t="s">
        <v>13</v>
      </c>
      <c r="B7" s="12" t="s">
        <v>183</v>
      </c>
      <c r="C7" s="12" t="s">
        <v>184</v>
      </c>
      <c r="G7" s="13" t="s">
        <v>5</v>
      </c>
      <c r="H7" s="13" t="s">
        <v>6</v>
      </c>
      <c r="I7" s="13" t="s">
        <v>7</v>
      </c>
      <c r="J7" s="13" t="s">
        <v>8</v>
      </c>
      <c r="K7" s="13" t="s">
        <v>9</v>
      </c>
    </row>
    <row r="8" spans="1:11" ht="30" x14ac:dyDescent="0.2">
      <c r="A8" s="12" t="s">
        <v>14</v>
      </c>
      <c r="B8" s="12" t="s">
        <v>185</v>
      </c>
      <c r="C8" s="12" t="s">
        <v>186</v>
      </c>
      <c r="F8" s="13" t="s">
        <v>13</v>
      </c>
      <c r="G8" s="14" t="s">
        <v>7</v>
      </c>
      <c r="H8" s="14" t="s">
        <v>7</v>
      </c>
      <c r="I8" s="15" t="s">
        <v>14</v>
      </c>
      <c r="J8" s="15" t="s">
        <v>14</v>
      </c>
      <c r="K8" s="16" t="s">
        <v>15</v>
      </c>
    </row>
    <row r="9" spans="1:11" ht="30" x14ac:dyDescent="0.2">
      <c r="A9" s="12" t="s">
        <v>7</v>
      </c>
      <c r="B9" s="12" t="s">
        <v>187</v>
      </c>
      <c r="C9" s="12" t="s">
        <v>188</v>
      </c>
      <c r="F9" s="13" t="s">
        <v>14</v>
      </c>
      <c r="G9" s="17" t="s">
        <v>6</v>
      </c>
      <c r="H9" s="14" t="s">
        <v>7</v>
      </c>
      <c r="I9" s="14" t="s">
        <v>7</v>
      </c>
      <c r="J9" s="15" t="s">
        <v>14</v>
      </c>
      <c r="K9" s="15" t="s">
        <v>14</v>
      </c>
    </row>
    <row r="10" spans="1:11" x14ac:dyDescent="0.2">
      <c r="A10" s="12" t="s">
        <v>6</v>
      </c>
      <c r="B10" s="12" t="s">
        <v>189</v>
      </c>
      <c r="C10" s="12" t="s">
        <v>190</v>
      </c>
      <c r="F10" s="13" t="s">
        <v>7</v>
      </c>
      <c r="G10" s="17" t="s">
        <v>6</v>
      </c>
      <c r="H10" s="14" t="s">
        <v>7</v>
      </c>
      <c r="I10" s="14" t="s">
        <v>7</v>
      </c>
      <c r="J10" s="14" t="s">
        <v>7</v>
      </c>
      <c r="K10" s="15" t="s">
        <v>14</v>
      </c>
    </row>
    <row r="11" spans="1:11" x14ac:dyDescent="0.2">
      <c r="A11" s="12" t="s">
        <v>5</v>
      </c>
      <c r="B11" s="12" t="s">
        <v>191</v>
      </c>
      <c r="C11" s="12" t="s">
        <v>192</v>
      </c>
      <c r="F11" s="13" t="s">
        <v>6</v>
      </c>
      <c r="G11" s="17" t="s">
        <v>6</v>
      </c>
      <c r="H11" s="17" t="s">
        <v>6</v>
      </c>
      <c r="I11" s="14" t="s">
        <v>7</v>
      </c>
      <c r="J11" s="14" t="s">
        <v>7</v>
      </c>
      <c r="K11" s="14" t="s">
        <v>7</v>
      </c>
    </row>
    <row r="12" spans="1:11" x14ac:dyDescent="0.2">
      <c r="F12" s="13" t="s">
        <v>5</v>
      </c>
      <c r="G12" s="18" t="s">
        <v>5</v>
      </c>
      <c r="H12" s="17" t="s">
        <v>6</v>
      </c>
      <c r="I12" s="17" t="s">
        <v>6</v>
      </c>
      <c r="J12" s="17" t="s">
        <v>6</v>
      </c>
      <c r="K12" s="14" t="s">
        <v>7</v>
      </c>
    </row>
    <row r="13" spans="1:11" x14ac:dyDescent="0.2">
      <c r="A13" s="31" t="s">
        <v>193</v>
      </c>
      <c r="B13" s="26"/>
      <c r="C13" s="26"/>
    </row>
    <row r="14" spans="1:11" x14ac:dyDescent="0.2">
      <c r="A14" s="10" t="s">
        <v>180</v>
      </c>
      <c r="B14" s="10" t="s">
        <v>181</v>
      </c>
      <c r="C14" s="10" t="s">
        <v>182</v>
      </c>
    </row>
    <row r="15" spans="1:11" ht="30" x14ac:dyDescent="0.2">
      <c r="A15" s="12" t="s">
        <v>9</v>
      </c>
      <c r="B15" s="12" t="s">
        <v>194</v>
      </c>
      <c r="C15" s="12" t="s">
        <v>195</v>
      </c>
    </row>
    <row r="16" spans="1:11" ht="30" x14ac:dyDescent="0.2">
      <c r="A16" s="12" t="s">
        <v>8</v>
      </c>
      <c r="B16" s="12" t="s">
        <v>196</v>
      </c>
      <c r="C16" s="12" t="s">
        <v>197</v>
      </c>
    </row>
    <row r="17" spans="1:3" ht="30" x14ac:dyDescent="0.2">
      <c r="A17" s="12" t="s">
        <v>7</v>
      </c>
      <c r="B17" s="12" t="s">
        <v>198</v>
      </c>
      <c r="C17" s="12" t="s">
        <v>199</v>
      </c>
    </row>
    <row r="18" spans="1:3" ht="30" x14ac:dyDescent="0.2">
      <c r="A18" s="12" t="s">
        <v>6</v>
      </c>
      <c r="B18" s="12" t="s">
        <v>200</v>
      </c>
      <c r="C18" s="12" t="s">
        <v>201</v>
      </c>
    </row>
    <row r="19" spans="1:3" x14ac:dyDescent="0.2">
      <c r="A19" s="12" t="s">
        <v>5</v>
      </c>
      <c r="B19" s="12" t="s">
        <v>202</v>
      </c>
      <c r="C19" s="12" t="s">
        <v>203</v>
      </c>
    </row>
  </sheetData>
  <mergeCells count="5">
    <mergeCell ref="F5:K5"/>
    <mergeCell ref="A13:C13"/>
    <mergeCell ref="A5:C5"/>
    <mergeCell ref="A1:C3"/>
    <mergeCell ref="F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 Page &amp; Intro</vt:lpstr>
      <vt:lpstr>Lists</vt:lpstr>
      <vt:lpstr>Instructions</vt:lpstr>
      <vt:lpstr>Risk Register</vt:lpstr>
      <vt:lpstr>Threat Listing</vt:lpstr>
      <vt:lpstr>Risk Matrix Tool</vt:lpstr>
      <vt:lpstr>ImpactOptions</vt:lpstr>
      <vt:lpstr>LikelihoodOptions</vt:lpstr>
      <vt:lpstr>POCOptions</vt:lpstr>
      <vt:lpstr>StatusOptions</vt:lpstr>
      <vt:lpstr>TreatmentOptions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Awine Akanlerige</cp:lastModifiedBy>
  <dcterms:modified xsi:type="dcterms:W3CDTF">2026-03-18T14:06:18Z</dcterms:modified>
</cp:coreProperties>
</file>